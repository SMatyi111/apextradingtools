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Journal" sheetId="1" r:id="rId1"/>
    <sheet name="Trade summary" sheetId="2" r:id="rId2"/>
    <sheet name="Markets" sheetId="3" r:id="rId3"/>
    <sheet name="Settings" sheetId="4" r:id="rId4"/>
    <sheet name="Calc" sheetId="5" state="hidden" r:id="rId5"/>
    <sheet name="Helper Sheet" sheetId="6" state="hidden" r:id="rId6"/>
  </sheets>
  <definedNames>
    <definedName name="EQ_X">Calc!$AH$11:INDEX(Calc!$AH$11:$AH$16,Calc!$AZ$11+1)</definedName>
    <definedName name="EQ_Y">Calc!$AI$11:INDEX(Calc!$AI$11:$AI$16,Calc!$AZ$11+1)</definedName>
    <definedName name="INST_X">Calc!$AR$11:INDEX(Calc!$AR$11:$AR$160,MAX(1,Calc!$AZ$36))</definedName>
    <definedName name="INST_Y">Calc!$AS$11:INDEX(Calc!$AS$11:$AS$160,MAX(1,Calc!$AZ$36))</definedName>
    <definedName name="INSTR_LIST">Markets!$A$5:INDEX(Markets!$A$5:$A$154,IFERROR(MATCH(REPT("z",50),Markets!$A$5:$A$154),1))</definedName>
    <definedName name="LOT_X">Calc!$AJ$11:INDEX(Calc!$AJ$11:$AJ$15,MAX(1,Calc!$AZ$11))</definedName>
    <definedName name="LOT_Y">Calc!$AK$11:INDEX(Calc!$AK$11:$AK$15,MAX(1,Calc!$AZ$11))</definedName>
    <definedName name="_xlnm.Print_Area" localSheetId="0">Journal!$A$1:$X$15</definedName>
    <definedName name="_xlnm.Print_Area" localSheetId="1">'Trade summary'!$A$1:$AB$36</definedName>
    <definedName name="_xlnm.Print_Titles" localSheetId="0">Journal!$10:$10</definedName>
    <definedName name="RISK_LIST">IF(Journal!$H$3="Fixed lots",RISK_LOTS,RISK_PCT)</definedName>
    <definedName name="RISK_LOTS">Settings!$K$5:$K$15</definedName>
    <definedName name="RISK_PCT">Settings!$I$5:$I$15</definedName>
    <definedName name="ROWSEL">'Helper Sheet'!$A$2</definedName>
    <definedName name="SESS_X">Calc!$AU$11:INDEX(Calc!$AU$11:$AU$16,MAX(1,Calc!$AZ$37))</definedName>
    <definedName name="SESS_Y">Calc!$AW$11:INDEX(Calc!$AW$11:$AW$16,MAX(1,Calc!$AZ$37))</definedName>
  </definedNames>
  <calcPr calcId="124519" fullCalcOnLoad="1"/>
</workbook>
</file>

<file path=xl/sharedStrings.xml><?xml version="1.0" encoding="utf-8"?>
<sst xmlns="http://schemas.openxmlformats.org/spreadsheetml/2006/main" count="315" uniqueCount="229">
  <si>
    <t>Settings</t>
  </si>
  <si>
    <t>Sessions are matched in UTC, top row first. A start after the end crosses midnight. Keep the rows contiguous from the top. Times in the Journal are converted with the Journal time zone.</t>
  </si>
  <si>
    <t>Session</t>
  </si>
  <si>
    <t>Start (UTC)</t>
  </si>
  <si>
    <t>End (UTC)</t>
  </si>
  <si>
    <t>Start (min)</t>
  </si>
  <si>
    <t>End (min)</t>
  </si>
  <si>
    <t>Asian</t>
  </si>
  <si>
    <t>London</t>
  </si>
  <si>
    <t>New York</t>
  </si>
  <si>
    <t>Outcomes</t>
  </si>
  <si>
    <t>SL</t>
  </si>
  <si>
    <t>TP</t>
  </si>
  <si>
    <t>Manual exit</t>
  </si>
  <si>
    <t>TP1 + Breakeven</t>
  </si>
  <si>
    <t>TP1 + Manual</t>
  </si>
  <si>
    <t>Multiple TP</t>
  </si>
  <si>
    <t>Risk % list</t>
  </si>
  <si>
    <t>Lot list</t>
  </si>
  <si>
    <t>Risk modes</t>
  </si>
  <si>
    <t>% of account</t>
  </si>
  <si>
    <t>Fixed lots</t>
  </si>
  <si>
    <t>Risk based on</t>
  </si>
  <si>
    <t>Current balance</t>
  </si>
  <si>
    <t>Starting balance</t>
  </si>
  <si>
    <t>Directions</t>
  </si>
  <si>
    <t>LONG</t>
  </si>
  <si>
    <t>SHORT</t>
  </si>
  <si>
    <t>Outcome names are used by the formulas: do not rename them.</t>
  </si>
  <si>
    <t>Risk and lot lists only feed the Journal dropdown; any value can be typed.</t>
  </si>
  <si>
    <t>Markets: instruments and contract specs</t>
  </si>
  <si>
    <t>Add your own instruments in any empty row (the Journal dropdown picks them up). Contract size = units of the instrument in 1.00 lot. Check the specs and commissions against your broker.</t>
  </si>
  <si>
    <t>Symbol</t>
  </si>
  <si>
    <t>Asset class</t>
  </si>
  <si>
    <t>Contract size (units per lot)</t>
  </si>
  <si>
    <t>Pip / point size</t>
  </si>
  <si>
    <t>Quote currency</t>
  </si>
  <si>
    <t>Quote -&gt; account rate</t>
  </si>
  <si>
    <t>Commission per lot (blank = Journal default)</t>
  </si>
  <si>
    <t>Commission % of notional</t>
  </si>
  <si>
    <t>Pip value per lot (account ccy)</t>
  </si>
  <si>
    <t>Notes</t>
  </si>
  <si>
    <t>EURUSD</t>
  </si>
  <si>
    <t>Forex</t>
  </si>
  <si>
    <t>USD</t>
  </si>
  <si>
    <t>GBPUSD</t>
  </si>
  <si>
    <t>AUDUSD</t>
  </si>
  <si>
    <t>NZDUSD</t>
  </si>
  <si>
    <t>USDJPY</t>
  </si>
  <si>
    <t>JPY</t>
  </si>
  <si>
    <t>USDCHF</t>
  </si>
  <si>
    <t>CHF</t>
  </si>
  <si>
    <t>USDCAD</t>
  </si>
  <si>
    <t>CAD</t>
  </si>
  <si>
    <t>EURGBP</t>
  </si>
  <si>
    <t>GBP</t>
  </si>
  <si>
    <t>EURJPY</t>
  </si>
  <si>
    <t>GBPJPY</t>
  </si>
  <si>
    <t>AUDJPY</t>
  </si>
  <si>
    <t>CADJPY</t>
  </si>
  <si>
    <t>CHFJPY</t>
  </si>
  <si>
    <t>NZDJPY</t>
  </si>
  <si>
    <t>EURCHF</t>
  </si>
  <si>
    <t>EURAUD</t>
  </si>
  <si>
    <t>AUD</t>
  </si>
  <si>
    <t>EURCAD</t>
  </si>
  <si>
    <t>GBPCHF</t>
  </si>
  <si>
    <t>GBPAUD</t>
  </si>
  <si>
    <t>AUDCAD</t>
  </si>
  <si>
    <t>AUDNZD</t>
  </si>
  <si>
    <t>NZD</t>
  </si>
  <si>
    <t>CADCHF</t>
  </si>
  <si>
    <t>XAUUSD</t>
  </si>
  <si>
    <t>Metal</t>
  </si>
  <si>
    <t>1 lot = 100 oz</t>
  </si>
  <si>
    <t>XAGUSD</t>
  </si>
  <si>
    <t>1 lot = 5000 oz</t>
  </si>
  <si>
    <t>US30</t>
  </si>
  <si>
    <t>Index</t>
  </si>
  <si>
    <t>1 lot = 1 USD per point (broker-specific)</t>
  </si>
  <si>
    <t>NAS100</t>
  </si>
  <si>
    <t>SPX500</t>
  </si>
  <si>
    <t>GER40</t>
  </si>
  <si>
    <t>EUR</t>
  </si>
  <si>
    <t>1 lot = 1 EUR per point (broker-specific)</t>
  </si>
  <si>
    <t>BTCUSD</t>
  </si>
  <si>
    <t>Crypto</t>
  </si>
  <si>
    <t>1 lot = 1 BTC; commission 0.10% of notional</t>
  </si>
  <si>
    <t>ETHUSD</t>
  </si>
  <si>
    <t>1 lot = 1 ETH; commission 0.10% of notional</t>
  </si>
  <si>
    <t>AAPL</t>
  </si>
  <si>
    <t>Stock</t>
  </si>
  <si>
    <t>1 lot = 1 share; commission per share</t>
  </si>
  <si>
    <t>TSLA</t>
  </si>
  <si>
    <t>MSFT</t>
  </si>
  <si>
    <t>Currency table</t>
  </si>
  <si>
    <t>Example rates: update them.</t>
  </si>
  <si>
    <t>The account currency row must be 1.</t>
  </si>
  <si>
    <t>Automated Trade Log  (Premium Demo: 5 trade rows)</t>
  </si>
  <si>
    <t>Default commission per lot</t>
  </si>
  <si>
    <t>Closed positions P/L (net)</t>
  </si>
  <si>
    <t>Account balance</t>
  </si>
  <si>
    <t>Account % change</t>
  </si>
  <si>
    <t>Time zone (UTC offset, hours)</t>
  </si>
  <si>
    <t>Risk mode</t>
  </si>
  <si>
    <t>Account currency</t>
  </si>
  <si>
    <t>Open trades</t>
  </si>
  <si>
    <t>Rows needing attention</t>
  </si>
  <si>
    <t>PREMIUM DEMO: every feature, limited to 5 trade rows (11-15). The full Premium journal has 1000 rows.</t>
  </si>
  <si>
    <t>Date</t>
  </si>
  <si>
    <t>Time</t>
  </si>
  <si>
    <t>Instrument</t>
  </si>
  <si>
    <t>Entry price</t>
  </si>
  <si>
    <t>Stop loss</t>
  </si>
  <si>
    <t>Take profit 1</t>
  </si>
  <si>
    <t>Take profit 2</t>
  </si>
  <si>
    <t>Take profit 3</t>
  </si>
  <si>
    <t>Outcome</t>
  </si>
  <si>
    <t>TP1 close %</t>
  </si>
  <si>
    <t>Averaged exit</t>
  </si>
  <si>
    <t>Direction</t>
  </si>
  <si>
    <t>Lot size</t>
  </si>
  <si>
    <t>Gross P/L</t>
  </si>
  <si>
    <t>Commission</t>
  </si>
  <si>
    <t>Net P/L</t>
  </si>
  <si>
    <t>Account change</t>
  </si>
  <si>
    <t>R multiple</t>
  </si>
  <si>
    <t>Planned R:R</t>
  </si>
  <si>
    <t>Check</t>
  </si>
  <si>
    <t>Demo limit reached: rows below are locked and not calculated. Get the Premium journal for 1000 rows.</t>
  </si>
  <si>
    <t>used</t>
  </si>
  <si>
    <t>instrument row</t>
  </si>
  <si>
    <t>contract size</t>
  </si>
  <si>
    <t>quote-&gt;account</t>
  </si>
  <si>
    <t>commission/lot</t>
  </si>
  <si>
    <t>commission % notional</t>
  </si>
  <si>
    <t>dir</t>
  </si>
  <si>
    <t>stop distance</t>
  </si>
  <si>
    <t>sizing check</t>
  </si>
  <si>
    <t>status</t>
  </si>
  <si>
    <t>counted</t>
  </si>
  <si>
    <t>tp1 share</t>
  </si>
  <si>
    <t>move</t>
  </si>
  <si>
    <t>averaged exit</t>
  </si>
  <si>
    <t>balance before</t>
  </si>
  <si>
    <t>lot</t>
  </si>
  <si>
    <t>balance after</t>
  </si>
  <si>
    <t>risk amount</t>
  </si>
  <si>
    <t>gross</t>
  </si>
  <si>
    <t>commission</t>
  </si>
  <si>
    <t>category</t>
  </si>
  <si>
    <t>net</t>
  </si>
  <si>
    <t>account change</t>
  </si>
  <si>
    <t>R</t>
  </si>
  <si>
    <t>planned RR</t>
  </si>
  <si>
    <t>session</t>
  </si>
  <si>
    <t>UTC minute</t>
  </si>
  <si>
    <t>direction</t>
  </si>
  <si>
    <t>running count</t>
  </si>
  <si>
    <t>seq</t>
  </si>
  <si>
    <t>open</t>
  </si>
  <si>
    <t>error</t>
  </si>
  <si>
    <t>eq k</t>
  </si>
  <si>
    <t>equity</t>
  </si>
  <si>
    <t>lot k</t>
  </si>
  <si>
    <t>lot by trade</t>
  </si>
  <si>
    <t>symbol</t>
  </si>
  <si>
    <t>trades</t>
  </si>
  <si>
    <t>order</t>
  </si>
  <si>
    <t>k</t>
  </si>
  <si>
    <t>instrument</t>
  </si>
  <si>
    <t>instrument net</t>
  </si>
  <si>
    <t>stat</t>
  </si>
  <si>
    <t>value</t>
  </si>
  <si>
    <t>Calculation engine. Row r belongs to Journal row r. Generated by journal/v2/build.py; see SPEC.md.</t>
  </si>
  <si>
    <t>n</t>
  </si>
  <si>
    <t>wins</t>
  </si>
  <si>
    <t>losses</t>
  </si>
  <si>
    <t>be</t>
  </si>
  <si>
    <t>winrate</t>
  </si>
  <si>
    <t>gp</t>
  </si>
  <si>
    <t>gl</t>
  </si>
  <si>
    <t>avgwin</t>
  </si>
  <si>
    <t>avgloss</t>
  </si>
  <si>
    <t>maxwin</t>
  </si>
  <si>
    <t>maxloss</t>
  </si>
  <si>
    <t>pf</t>
  </si>
  <si>
    <t>payoff</t>
  </si>
  <si>
    <t>avgprr</t>
  </si>
  <si>
    <t>avgr</t>
  </si>
  <si>
    <t>costs</t>
  </si>
  <si>
    <t>avgnet</t>
  </si>
  <si>
    <t>roi</t>
  </si>
  <si>
    <t>errors</t>
  </si>
  <si>
    <t>nlong</t>
  </si>
  <si>
    <t>nshort</t>
  </si>
  <si>
    <t>netlong</t>
  </si>
  <si>
    <t>netshort</t>
  </si>
  <si>
    <t>ninst</t>
  </si>
  <si>
    <t>nsess</t>
  </si>
  <si>
    <t>balance</t>
  </si>
  <si>
    <t>grosstotal</t>
  </si>
  <si>
    <t>Wins</t>
  </si>
  <si>
    <t>Losses</t>
  </si>
  <si>
    <t>Break-even</t>
  </si>
  <si>
    <t>Trade Summary</t>
  </si>
  <si>
    <t>Dashboard</t>
  </si>
  <si>
    <t>Total number of trades</t>
  </si>
  <si>
    <t>Winning trades</t>
  </si>
  <si>
    <t>Losing trades</t>
  </si>
  <si>
    <t>Break-even trades</t>
  </si>
  <si>
    <t>Win rate</t>
  </si>
  <si>
    <t>Gross profit (winning trades)</t>
  </si>
  <si>
    <t>Gross loss (losing trades)</t>
  </si>
  <si>
    <t>Average winning trade</t>
  </si>
  <si>
    <t>Average losing trade</t>
  </si>
  <si>
    <t>Largest winning trade</t>
  </si>
  <si>
    <t>Largest losing trade</t>
  </si>
  <si>
    <t>Profit factor</t>
  </si>
  <si>
    <t>Payoff ratio (avg win / avg loss)</t>
  </si>
  <si>
    <t>Average planned R:R</t>
  </si>
  <si>
    <t>Average realised R (expectancy)</t>
  </si>
  <si>
    <t>Total trade costs</t>
  </si>
  <si>
    <t>Total net P/L</t>
  </si>
  <si>
    <t>Average net P/L per trade</t>
  </si>
  <si>
    <t>Return on investment</t>
  </si>
  <si>
    <t>Win/loss stats use gross P/L; totals, ROI, equity and the P/L charts are net of commission.</t>
  </si>
  <si>
    <t>Selected row (written by the Journal sheet macro)</t>
  </si>
  <si>
    <t>Selected column</t>
  </si>
</sst>
</file>

<file path=xl/styles.xml><?xml version="1.0" encoding="utf-8"?>
<styleSheet xmlns="http://schemas.openxmlformats.org/spreadsheetml/2006/main">
  <numFmts count="14">
    <numFmt numFmtId="164" formatCode="#,##0.00"/>
    <numFmt numFmtId="165" formatCode="0.00%"/>
    <numFmt numFmtId="166" formatCode="0.0#"/>
    <numFmt numFmtId="167" formatCode="yyyy-mm-dd"/>
    <numFmt numFmtId="168" formatCode="hh:mm"/>
    <numFmt numFmtId="169" formatCode="#,##0.00###"/>
    <numFmt numFmtId="170" formatCode="0%"/>
    <numFmt numFmtId="171" formatCode="#,##0.00##"/>
    <numFmt numFmtId="172" formatCode="0.00&quot;R&quot;"/>
    <numFmt numFmtId="173" formatCode="0.00"/>
    <numFmt numFmtId="174" formatCode="0.0%"/>
    <numFmt numFmtId="175" formatCode="#,##0"/>
    <numFmt numFmtId="176" formatCode="0.#####"/>
    <numFmt numFmtId="177" formatCode="0.######"/>
  </numFmts>
  <fonts count="8">
    <font>
      <sz val="11"/>
      <color theme="1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FFC000"/>
      <name val="Calibri"/>
      <family val="2"/>
      <scheme val="minor"/>
    </font>
    <font>
      <sz val="10"/>
      <color rgb="FF9AA5B4"/>
      <name val="Calibri"/>
      <family val="2"/>
      <scheme val="minor"/>
    </font>
    <font>
      <i/>
      <sz val="8"/>
      <color rgb="FF9AA5B4"/>
      <name val="Calibri"/>
      <family val="2"/>
      <scheme val="minor"/>
    </font>
    <font>
      <i/>
      <sz val="10"/>
      <color rgb="FF9AA5B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333F50"/>
        <bgColor indexed="64"/>
      </patternFill>
    </fill>
    <fill>
      <patternFill patternType="solid">
        <fgColor rgb="FF218287"/>
        <bgColor indexed="64"/>
      </patternFill>
    </fill>
    <fill>
      <patternFill patternType="solid">
        <fgColor rgb="FF3B4759"/>
        <bgColor indexed="64"/>
      </patternFill>
    </fill>
    <fill>
      <patternFill patternType="solid">
        <fgColor rgb="FF2A3442"/>
        <bgColor indexed="64"/>
      </patternFill>
    </fill>
  </fills>
  <borders count="2">
    <border>
      <left/>
      <right/>
      <top/>
      <bottom/>
      <diagonal/>
    </border>
    <border>
      <left style="thin">
        <color rgb="FF46536A"/>
      </left>
      <right style="thin">
        <color rgb="FF46536A"/>
      </right>
      <top style="thin">
        <color rgb="FF46536A"/>
      </top>
      <bottom style="thin">
        <color rgb="FF46536A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164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 wrapText="1"/>
    </xf>
    <xf numFmtId="164" fontId="1" fillId="5" borderId="1" xfId="0" applyNumberFormat="1" applyFont="1" applyFill="1" applyBorder="1" applyAlignment="1">
      <alignment horizontal="center" vertical="center"/>
    </xf>
    <xf numFmtId="1" fontId="1" fillId="5" borderId="1" xfId="0" applyNumberFormat="1" applyFont="1" applyFill="1" applyBorder="1" applyAlignment="1">
      <alignment horizontal="center" vertical="center"/>
    </xf>
    <xf numFmtId="165" fontId="1" fillId="5" borderId="1" xfId="0" applyNumberFormat="1" applyFont="1" applyFill="1" applyBorder="1" applyAlignment="1">
      <alignment horizontal="center" vertical="center"/>
    </xf>
    <xf numFmtId="166" fontId="1" fillId="4" borderId="1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167" fontId="1" fillId="4" borderId="1" xfId="0" applyNumberFormat="1" applyFont="1" applyFill="1" applyBorder="1" applyAlignment="1" applyProtection="1">
      <alignment vertical="center"/>
      <protection locked="0"/>
    </xf>
    <xf numFmtId="168" fontId="1" fillId="4" borderId="1" xfId="0" applyNumberFormat="1" applyFont="1" applyFill="1" applyBorder="1" applyAlignment="1" applyProtection="1">
      <alignment vertical="center"/>
      <protection locked="0"/>
    </xf>
    <xf numFmtId="0" fontId="1" fillId="4" borderId="1" xfId="0" applyFont="1" applyFill="1" applyBorder="1" applyAlignment="1" applyProtection="1">
      <alignment vertical="center"/>
      <protection locked="0"/>
    </xf>
    <xf numFmtId="169" fontId="1" fillId="4" borderId="1" xfId="0" applyNumberFormat="1" applyFont="1" applyFill="1" applyBorder="1" applyAlignment="1" applyProtection="1">
      <alignment vertical="center"/>
      <protection locked="0"/>
    </xf>
    <xf numFmtId="165" fontId="1" fillId="4" borderId="1" xfId="0" applyNumberFormat="1" applyFont="1" applyFill="1" applyBorder="1" applyAlignment="1" applyProtection="1">
      <alignment vertical="center"/>
      <protection locked="0"/>
    </xf>
    <xf numFmtId="170" fontId="1" fillId="4" borderId="1" xfId="0" applyNumberFormat="1" applyFont="1" applyFill="1" applyBorder="1" applyAlignment="1" applyProtection="1">
      <alignment vertical="center"/>
      <protection locked="0"/>
    </xf>
    <xf numFmtId="169" fontId="1" fillId="5" borderId="1" xfId="0" applyNumberFormat="1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171" fontId="1" fillId="5" borderId="1" xfId="0" applyNumberFormat="1" applyFont="1" applyFill="1" applyBorder="1" applyAlignment="1">
      <alignment vertical="center"/>
    </xf>
    <xf numFmtId="164" fontId="1" fillId="5" borderId="1" xfId="0" applyNumberFormat="1" applyFont="1" applyFill="1" applyBorder="1" applyAlignment="1">
      <alignment vertical="center"/>
    </xf>
    <xf numFmtId="165" fontId="1" fillId="5" borderId="1" xfId="0" applyNumberFormat="1" applyFont="1" applyFill="1" applyBorder="1" applyAlignment="1">
      <alignment vertical="center"/>
    </xf>
    <xf numFmtId="172" fontId="1" fillId="5" borderId="1" xfId="0" applyNumberFormat="1" applyFont="1" applyFill="1" applyBorder="1" applyAlignment="1">
      <alignment vertical="center"/>
    </xf>
    <xf numFmtId="173" fontId="1" fillId="5" borderId="1" xfId="0" applyNumberFormat="1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3" borderId="1" xfId="0" applyFont="1" applyFill="1" applyBorder="1" applyAlignment="1">
      <alignment vertical="center"/>
    </xf>
    <xf numFmtId="1" fontId="3" fillId="5" borderId="1" xfId="0" applyNumberFormat="1" applyFont="1" applyFill="1" applyBorder="1" applyAlignment="1">
      <alignment horizontal="right" vertical="center"/>
    </xf>
    <xf numFmtId="174" fontId="3" fillId="5" borderId="1" xfId="0" applyNumberFormat="1" applyFont="1" applyFill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right" vertical="center"/>
    </xf>
    <xf numFmtId="173" fontId="3" fillId="5" borderId="1" xfId="0" applyNumberFormat="1" applyFont="1" applyFill="1" applyBorder="1" applyAlignment="1">
      <alignment horizontal="right" vertical="center"/>
    </xf>
    <xf numFmtId="172" fontId="3" fillId="5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>
      <alignment horizontal="right"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175" fontId="1" fillId="4" borderId="1" xfId="0" applyNumberFormat="1" applyFont="1" applyFill="1" applyBorder="1" applyAlignment="1">
      <alignment vertical="center"/>
    </xf>
    <xf numFmtId="176" fontId="1" fillId="4" borderId="1" xfId="0" applyNumberFormat="1" applyFont="1" applyFill="1" applyBorder="1" applyAlignment="1">
      <alignment vertical="center"/>
    </xf>
    <xf numFmtId="177" fontId="1" fillId="5" borderId="1" xfId="0" applyNumberFormat="1" applyFont="1" applyFill="1" applyBorder="1" applyAlignment="1">
      <alignment vertical="center"/>
    </xf>
    <xf numFmtId="171" fontId="1" fillId="4" borderId="1" xfId="0" applyNumberFormat="1" applyFont="1" applyFill="1" applyBorder="1" applyAlignment="1">
      <alignment vertical="center"/>
    </xf>
    <xf numFmtId="165" fontId="1" fillId="4" borderId="1" xfId="0" applyNumberFormat="1" applyFont="1" applyFill="1" applyBorder="1" applyAlignment="1">
      <alignment vertical="center"/>
    </xf>
    <xf numFmtId="177" fontId="1" fillId="4" borderId="1" xfId="0" applyNumberFormat="1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173" fontId="1" fillId="4" borderId="1" xfId="0" applyNumberFormat="1" applyFont="1" applyFill="1" applyBorder="1" applyAlignment="1" applyProtection="1">
      <alignment vertical="center"/>
      <protection locked="0"/>
    </xf>
  </cellXfs>
  <cellStyles count="1">
    <cellStyle name="Normal" xfId="0" builtinId="0"/>
  </cellStyles>
  <dxfs count="7">
    <dxf>
      <font>
        <color rgb="FF000000"/>
      </font>
      <fill>
        <patternFill>
          <bgColor rgb="FFFFC000"/>
        </patternFill>
      </fill>
    </dxf>
    <dxf>
      <font>
        <b/>
        <color rgb="FFFFC000"/>
      </font>
    </dxf>
    <dxf>
      <font>
        <color rgb="FF9AA5B4"/>
      </font>
    </dxf>
    <dxf>
      <fill>
        <patternFill>
          <bgColor rgb="FF252E43"/>
        </patternFill>
      </fill>
      <border>
        <left/>
        <right/>
        <top style="medium">
          <color rgb="FFFFC000"/>
        </top>
        <bottom style="medium">
          <color rgb="FFFFC000"/>
        </bottom>
        <vertical/>
        <horizontal/>
      </border>
    </dxf>
    <dxf>
      <numFmt numFmtId="178" formatCode="0.00##"/>
    </dxf>
    <dxf>
      <font>
        <color rgb="FF00B050"/>
      </font>
    </dxf>
    <dxf>
      <font>
        <color rgb="FFFF4B4B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Trade Win Rate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AA82A"/>
              </a:solidFill>
              <a:ln>
                <a:noFill/>
              </a:ln>
            </c:spPr>
          </c:dPt>
          <c:dPt>
            <c:idx val="1"/>
            <c:spPr>
              <a:solidFill>
                <a:srgbClr val="E5383B"/>
              </a:solidFill>
              <a:ln>
                <a:noFill/>
              </a:ln>
            </c:spPr>
          </c:dPt>
          <c:dPt>
            <c:idx val="2"/>
            <c:spPr>
              <a:solidFill>
                <a:srgbClr val="7F8C9D"/>
              </a:solidFill>
              <a:ln>
                <a:noFill/>
              </a:ln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Calc!$BB$14:$BB$16</c:f>
              <c:strCache>
                <c:ptCount val="3"/>
                <c:pt idx="0">
                  <c:v>Wins</c:v>
                </c:pt>
                <c:pt idx="1">
                  <c:v>Losses</c:v>
                </c:pt>
                <c:pt idx="2">
                  <c:v>Break-even</c:v>
                </c:pt>
              </c:strCache>
            </c:strRef>
          </c:cat>
          <c:val>
            <c:numRef>
              <c:f>Calc!$BC$14:$BC$16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5"/>
      </c:doughnutChart>
    </c:plotArea>
    <c:legend>
      <c:legendPos val="b"/>
      <c:layout/>
      <c:txPr>
        <a:bodyPr/>
        <a:lstStyle/>
        <a:p>
          <a:pPr rtl="0">
            <a:defRPr sz="800" baseline="0">
              <a:solidFill>
                <a:srgbClr val="FFFFFF"/>
              </a:solidFill>
            </a:defRPr>
          </a:pPr>
          <a:endParaRPr lang="en-US"/>
        </a:p>
      </c:txPr>
    </c:legend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Distribution Of P/L (net)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1AA82A"/>
              </a:solidFill>
            </c:spPr>
          </c:dPt>
          <c:dPt>
            <c:idx val="1"/>
            <c:spPr>
              <a:solidFill>
                <a:srgbClr val="E5383B"/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Val val="1"/>
          </c:dLbls>
          <c:cat>
            <c:strRef>
              <c:f>Calc!$BB$11:$BB$12</c:f>
              <c:strCache>
                <c:ptCount val="2"/>
                <c:pt idx="0">
                  <c:v>LONG</c:v>
                </c:pt>
                <c:pt idx="1">
                  <c:v>SHORT</c:v>
                </c:pt>
              </c:strCache>
            </c:strRef>
          </c:cat>
          <c:val>
            <c:numRef>
              <c:f>Calc!$BD$11:$BD$12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gapWidth val="60"/>
        <c:axId val="50020001"/>
        <c:axId val="50020002"/>
      </c:barChart>
      <c:catAx>
        <c:axId val="50020001"/>
        <c:scaling>
          <c:orientation val="minMax"/>
        </c:scaling>
        <c:axPos val="b"/>
        <c:tickLblPos val="low"/>
        <c:spPr>
          <a:ln>
            <a:solidFill>
              <a:srgbClr val="46536A"/>
            </a:solidFill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6350">
              <a:solidFill>
                <a:srgbClr val="46536A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333F50"/>
        </a:solidFill>
      </c:spPr>
    </c:plotArea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Distribution Of Long/Short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1AA82A"/>
              </a:solidFill>
            </c:spPr>
          </c:dPt>
          <c:dPt>
            <c:idx val="1"/>
            <c:spPr>
              <a:solidFill>
                <a:srgbClr val="E5383B"/>
              </a:solidFill>
            </c:spPr>
          </c:dPt>
          <c:dLbls>
            <c:numFmt formatCode="0" sourceLinked="0"/>
            <c:txPr>
              <a:bodyPr/>
              <a:lstStyle/>
              <a:p>
                <a:pPr>
                  <a:defRPr sz="800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Val val="1"/>
          </c:dLbls>
          <c:cat>
            <c:strRef>
              <c:f>Calc!$BB$11:$BB$12</c:f>
              <c:strCache>
                <c:ptCount val="2"/>
                <c:pt idx="0">
                  <c:v>LONG</c:v>
                </c:pt>
                <c:pt idx="1">
                  <c:v>SHORT</c:v>
                </c:pt>
              </c:strCache>
            </c:strRef>
          </c:cat>
          <c:val>
            <c:numRef>
              <c:f>Calc!$BC$11:$BC$12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gapWidth val="60"/>
        <c:axId val="50030001"/>
        <c:axId val="50030002"/>
      </c:barChart>
      <c:catAx>
        <c:axId val="50030001"/>
        <c:scaling>
          <c:orientation val="minMax"/>
        </c:scaling>
        <c:axPos val="b"/>
        <c:tickLblPos val="low"/>
        <c:spPr>
          <a:ln>
            <a:solidFill>
              <a:srgbClr val="46536A"/>
            </a:solidFill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6350">
              <a:solidFill>
                <a:srgbClr val="46536A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333F50"/>
        </a:solidFill>
      </c:spPr>
    </c:plotArea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Lot Sizes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21A3A9"/>
              </a:solidFill>
              <a:ln>
                <a:solidFill>
                  <a:srgbClr val="21A3A9"/>
                </a:solidFill>
              </a:ln>
            </c:spPr>
          </c:marker>
          <c:xVal>
            <c:numRef>
              <c:f>[0]!LOT_X</c:f>
            </c:numRef>
          </c:xVal>
          <c:yVal>
            <c:numRef>
              <c:f>[0]!LOT_Y</c:f>
              <c:numCache>
                <c:formatCode>General</c:formatCode>
                <c:ptCount val="0"/>
              </c:numCache>
            </c:numRef>
          </c:yVal>
        </c:ser>
        <c:axId val="50040001"/>
        <c:axId val="50040002"/>
      </c:scatterChart>
      <c:valAx>
        <c:axId val="50040001"/>
        <c:scaling>
          <c:orientation val="minMax"/>
        </c:scaling>
        <c:axPos val="b"/>
        <c:numFmt formatCode="General" sourceLinked="1"/>
        <c:tickLblPos val="low"/>
        <c:spPr>
          <a:ln>
            <a:solidFill>
              <a:srgbClr val="46536A"/>
            </a:solidFill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axPos val="l"/>
        <c:majorGridlines>
          <c:spPr>
            <a:ln w="6350">
              <a:solidFill>
                <a:srgbClr val="46536A"/>
              </a:solidFill>
            </a:ln>
          </c:spPr>
        </c:majorGridlines>
        <c:numFmt formatCode="0.00" sourceLinked="0"/>
        <c:tickLblPos val="nextTo"/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40001"/>
        <c:crosses val="autoZero"/>
        <c:crossBetween val="midCat"/>
      </c:valAx>
      <c:spPr>
        <a:solidFill>
          <a:srgbClr val="333F50"/>
        </a:solidFill>
      </c:spPr>
    </c:plotArea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Equity Curve (net, trade 0 = starting balance)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21A3A9">
                <a:alpha val="75000"/>
              </a:srgbClr>
            </a:solidFill>
            <a:ln>
              <a:solidFill>
                <a:srgbClr val="21A3A9"/>
              </a:solidFill>
            </a:ln>
          </c:spPr>
          <c:cat>
            <c:numRef>
              <c:f>[0]!EQ_X</c:f>
            </c:numRef>
          </c:cat>
          <c:val>
            <c:numRef>
              <c:f>[0]!EQ_Y</c:f>
              <c:numCache>
                <c:formatCode>General</c:formatCode>
                <c:ptCount val="0"/>
              </c:numCache>
            </c:numRef>
          </c:val>
        </c:ser>
        <c:axId val="50050001"/>
        <c:axId val="50050002"/>
      </c:areaChart>
      <c:catAx>
        <c:axId val="50050001"/>
        <c:scaling>
          <c:orientation val="minMax"/>
        </c:scaling>
        <c:axPos val="b"/>
        <c:numFmt formatCode="General" sourceLinked="1"/>
        <c:tickLblPos val="low"/>
        <c:spPr>
          <a:ln>
            <a:solidFill>
              <a:srgbClr val="46536A"/>
            </a:solidFill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6350">
              <a:solidFill>
                <a:srgbClr val="46536A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50001"/>
        <c:crosses val="autoZero"/>
        <c:crossBetween val="midCat"/>
      </c:valAx>
      <c:spPr>
        <a:solidFill>
          <a:srgbClr val="333F50"/>
        </a:solidFill>
      </c:spPr>
    </c:plotArea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Distribution Of Sessions (net P/L)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21A3A9"/>
            </a:solidFill>
          </c:spPr>
          <c:invertIfNegative val="1"/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[0]!SESS_X</c:f>
            </c:numRef>
          </c:cat>
          <c:val>
            <c:numRef>
              <c:f>[0]!SESS_Y</c:f>
              <c:numCache>
                <c:formatCode>General</c:formatCode>
                <c:ptCount val="0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5383B"/>
                  </a:solidFill>
                </c14:spPr>
              </c14:invertSolidFillFmt>
            </c:ext>
          </c:extLst>
        </c:ser>
        <c:gapWidth val="60"/>
        <c:axId val="50060001"/>
        <c:axId val="50060002"/>
      </c:barChart>
      <c:catAx>
        <c:axId val="50060001"/>
        <c:scaling>
          <c:orientation val="minMax"/>
        </c:scaling>
        <c:axPos val="l"/>
        <c:majorGridlines>
          <c:spPr>
            <a:ln w="6350">
              <a:solidFill>
                <a:srgbClr val="46536A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b"/>
        <c:numFmt formatCode="General" sourceLinked="1"/>
        <c:tickLblPos val="low"/>
        <c:spPr>
          <a:ln>
            <a:solidFill>
              <a:srgbClr val="46536A"/>
            </a:solidFill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60001"/>
        <c:crosses val="autoZero"/>
        <c:crossBetween val="between"/>
      </c:valAx>
      <c:spPr>
        <a:solidFill>
          <a:srgbClr val="333F50"/>
        </a:solidFill>
      </c:spPr>
    </c:plotArea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0" baseline="0">
                <a:solidFill>
                  <a:srgbClr val="FFFFFF"/>
                </a:solidFill>
              </a:defRPr>
            </a:pPr>
            <a:r>
              <a:rPr lang="en-US" sz="1100" b="0" baseline="0">
                <a:solidFill>
                  <a:srgbClr val="FFFFFF"/>
                </a:solidFill>
              </a:rPr>
              <a:t>Distribution Of P/L Per Instrument (net)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21A3A9"/>
            </a:solidFill>
          </c:spPr>
          <c:invertIfNegative val="1"/>
          <c:dLbls>
            <c:numFmt formatCode="#,##0" sourceLinked="0"/>
            <c:txPr>
              <a:bodyPr/>
              <a:lstStyle/>
              <a:p>
                <a:pPr>
                  <a:defRPr sz="700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[0]!INST_X</c:f>
            </c:numRef>
          </c:cat>
          <c:val>
            <c:numRef>
              <c:f>[0]!INST_Y</c:f>
              <c:numCache>
                <c:formatCode>General</c:formatCode>
                <c:ptCount val="0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5383B"/>
                  </a:solidFill>
                </c14:spPr>
              </c14:invertSolidFillFmt>
            </c:ext>
          </c:extLst>
        </c:ser>
        <c:gapWidth val="50"/>
        <c:axId val="50070001"/>
        <c:axId val="50070002"/>
      </c:barChart>
      <c:catAx>
        <c:axId val="50070001"/>
        <c:scaling>
          <c:orientation val="minMax"/>
        </c:scaling>
        <c:axPos val="b"/>
        <c:numFmt formatCode="General" sourceLinked="1"/>
        <c:tickLblPos val="low"/>
        <c:spPr>
          <a:ln>
            <a:solidFill>
              <a:srgbClr val="46536A"/>
            </a:solidFill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 w="6350">
              <a:solidFill>
                <a:srgbClr val="46536A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FFFFFF"/>
                </a:solidFill>
              </a:defRPr>
            </a:pPr>
            <a:endParaRPr lang="en-US"/>
          </a:p>
        </c:txPr>
        <c:crossAx val="50070001"/>
        <c:crosses val="autoZero"/>
        <c:crossBetween val="between"/>
      </c:valAx>
      <c:spPr>
        <a:solidFill>
          <a:srgbClr val="333F50"/>
        </a:solidFill>
      </c:spPr>
    </c:plotArea>
    <c:plotVisOnly val="1"/>
  </c:chart>
  <c:spPr>
    <a:solidFill>
      <a:srgbClr val="333F50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7</xdr:col>
      <xdr:colOff>361950</xdr:colOff>
      <xdr:row>15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38100</xdr:colOff>
      <xdr:row>15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38100</xdr:colOff>
      <xdr:row>15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2</xdr:row>
      <xdr:rowOff>0</xdr:rowOff>
    </xdr:from>
    <xdr:to>
      <xdr:col>19</xdr:col>
      <xdr:colOff>361950</xdr:colOff>
      <xdr:row>15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18</xdr:row>
      <xdr:rowOff>0</xdr:rowOff>
    </xdr:from>
    <xdr:to>
      <xdr:col>12</xdr:col>
      <xdr:colOff>142875</xdr:colOff>
      <xdr:row>33</xdr:row>
      <xdr:rowOff>161925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2</xdr:row>
      <xdr:rowOff>0</xdr:rowOff>
    </xdr:from>
    <xdr:to>
      <xdr:col>24</xdr:col>
      <xdr:colOff>361950</xdr:colOff>
      <xdr:row>15</xdr:row>
      <xdr:rowOff>133350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24</xdr:col>
      <xdr:colOff>504825</xdr:colOff>
      <xdr:row>33</xdr:row>
      <xdr:rowOff>161925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unka1">
    <pageSetUpPr fitToPage="1"/>
  </sheetPr>
  <dimension ref="A1:AB17"/>
  <sheetViews>
    <sheetView showGridLines="0"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/>
    </sheetView>
  </sheetViews>
  <sheetFormatPr defaultRowHeight="15"/>
  <cols>
    <col min="1" max="1" width="11.7109375" style="1" customWidth="1"/>
    <col min="2" max="2" width="8.7109375" style="1" customWidth="1"/>
    <col min="3" max="9" width="11.7109375" style="1" customWidth="1"/>
    <col min="10" max="10" width="16.7109375" style="1" customWidth="1"/>
    <col min="11" max="12" width="9.7109375" style="1" customWidth="1"/>
    <col min="13" max="13" width="11.7109375" style="1" customWidth="1"/>
    <col min="14" max="14" width="9.7109375" style="1" customWidth="1"/>
    <col min="15" max="15" width="10.7109375" style="1" customWidth="1"/>
    <col min="16" max="16" width="9.7109375" style="1" customWidth="1"/>
    <col min="17" max="19" width="11.7109375" style="1" customWidth="1"/>
    <col min="20" max="20" width="10.7109375" style="1" customWidth="1"/>
    <col min="21" max="22" width="9.7109375" style="1" customWidth="1"/>
    <col min="23" max="23" width="22.7109375" style="1" customWidth="1"/>
    <col min="24" max="24" width="45.7109375" style="1" customWidth="1"/>
    <col min="25" max="28" width="4.7109375" style="1" customWidth="1"/>
  </cols>
  <sheetData>
    <row r="1" spans="1:24" ht="24" customHeight="1">
      <c r="A1" s="2" t="s">
        <v>98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3" spans="1:24">
      <c r="A3" s="3" t="s">
        <v>24</v>
      </c>
      <c r="B3" s="3"/>
      <c r="C3" s="3"/>
      <c r="D3" s="4">
        <v>10000</v>
      </c>
      <c r="F3" s="3" t="s">
        <v>104</v>
      </c>
      <c r="G3" s="3"/>
      <c r="H3" s="5" t="s">
        <v>20</v>
      </c>
      <c r="J3" s="6" t="s">
        <v>108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>
      <c r="A4" s="3" t="s">
        <v>99</v>
      </c>
      <c r="B4" s="3"/>
      <c r="C4" s="3"/>
      <c r="D4" s="4">
        <v>3</v>
      </c>
      <c r="F4" s="3" t="s">
        <v>22</v>
      </c>
      <c r="G4" s="3"/>
      <c r="H4" s="5" t="s">
        <v>23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 spans="1:24">
      <c r="A5" s="3" t="s">
        <v>100</v>
      </c>
      <c r="B5" s="3"/>
      <c r="C5" s="3"/>
      <c r="D5" s="7">
        <f>Calc!$AZ$27</f>
        <v>0</v>
      </c>
      <c r="F5" s="3" t="s">
        <v>105</v>
      </c>
      <c r="G5" s="3"/>
      <c r="H5" s="5" t="s">
        <v>44</v>
      </c>
    </row>
    <row r="6" spans="1:24">
      <c r="A6" s="3" t="s">
        <v>101</v>
      </c>
      <c r="B6" s="3"/>
      <c r="C6" s="3"/>
      <c r="D6" s="7">
        <f>Calc!$AZ$38</f>
        <v>0</v>
      </c>
      <c r="F6" s="3" t="s">
        <v>106</v>
      </c>
      <c r="G6" s="3"/>
      <c r="H6" s="8">
        <f>Calc!$AZ$30</f>
        <v>0</v>
      </c>
    </row>
    <row r="7" spans="1:24">
      <c r="A7" s="3" t="s">
        <v>102</v>
      </c>
      <c r="B7" s="3"/>
      <c r="C7" s="3"/>
      <c r="D7" s="9">
        <f>IF(D3=0,"",Calc!$AZ$27/D3)</f>
        <v>0</v>
      </c>
      <c r="F7" s="3" t="s">
        <v>107</v>
      </c>
      <c r="G7" s="3"/>
      <c r="H7" s="8">
        <f>Calc!$AZ$31</f>
        <v>0</v>
      </c>
    </row>
    <row r="8" spans="1:24">
      <c r="A8" s="3" t="s">
        <v>103</v>
      </c>
      <c r="B8" s="3"/>
      <c r="C8" s="3"/>
      <c r="D8" s="10">
        <v>2</v>
      </c>
      <c r="E8" s="11">
        <f>"UTC"&amp;IF(D8&gt;=0,"+","")&amp;D8</f>
        <v>0</v>
      </c>
    </row>
    <row r="10" spans="1:24" ht="30" customHeight="1">
      <c r="A10" s="12" t="s">
        <v>109</v>
      </c>
      <c r="B10" s="12" t="s">
        <v>110</v>
      </c>
      <c r="C10" s="12" t="s">
        <v>111</v>
      </c>
      <c r="D10" s="12" t="s">
        <v>112</v>
      </c>
      <c r="E10" s="12" t="s">
        <v>113</v>
      </c>
      <c r="F10" s="12" t="s">
        <v>114</v>
      </c>
      <c r="G10" s="12" t="s">
        <v>115</v>
      </c>
      <c r="H10" s="12" t="s">
        <v>116</v>
      </c>
      <c r="I10" s="12" t="s">
        <v>13</v>
      </c>
      <c r="J10" s="12" t="s">
        <v>117</v>
      </c>
      <c r="K10" s="12" t="str">
        <f>IF($H$3="Fixed lots","Lots","Risk %")</f>
        <v>Risk %</v>
      </c>
      <c r="L10" s="12" t="s">
        <v>118</v>
      </c>
      <c r="M10" s="12" t="s">
        <v>119</v>
      </c>
      <c r="N10" s="12" t="s">
        <v>120</v>
      </c>
      <c r="O10" s="12" t="s">
        <v>2</v>
      </c>
      <c r="P10" s="12" t="s">
        <v>121</v>
      </c>
      <c r="Q10" s="12" t="s">
        <v>122</v>
      </c>
      <c r="R10" s="12" t="s">
        <v>123</v>
      </c>
      <c r="S10" s="12" t="s">
        <v>124</v>
      </c>
      <c r="T10" s="12" t="s">
        <v>125</v>
      </c>
      <c r="U10" s="12" t="s">
        <v>126</v>
      </c>
      <c r="V10" s="12" t="s">
        <v>127</v>
      </c>
      <c r="W10" s="12" t="s">
        <v>128</v>
      </c>
      <c r="X10" s="12" t="s">
        <v>41</v>
      </c>
    </row>
    <row r="11" spans="1:24">
      <c r="A11" s="13"/>
      <c r="B11" s="14"/>
      <c r="C11" s="15"/>
      <c r="D11" s="16"/>
      <c r="E11" s="16"/>
      <c r="F11" s="16"/>
      <c r="G11" s="16"/>
      <c r="H11" s="16"/>
      <c r="I11" s="16"/>
      <c r="J11" s="15"/>
      <c r="K11" s="17"/>
      <c r="L11" s="18"/>
      <c r="M11" s="19">
        <f>Calc!N11</f>
        <v>0</v>
      </c>
      <c r="N11" s="20">
        <f>Calc!AB11</f>
        <v>0</v>
      </c>
      <c r="O11" s="20">
        <f>Calc!Z11</f>
        <v>0</v>
      </c>
      <c r="P11" s="21">
        <f>Calc!P11</f>
        <v>0</v>
      </c>
      <c r="Q11" s="22">
        <f>Calc!S11</f>
        <v>0</v>
      </c>
      <c r="R11" s="22">
        <f>Calc!T11</f>
        <v>0</v>
      </c>
      <c r="S11" s="22">
        <f>Calc!V11</f>
        <v>0</v>
      </c>
      <c r="T11" s="23">
        <f>Calc!W11</f>
        <v>0</v>
      </c>
      <c r="U11" s="24">
        <f>Calc!X11</f>
        <v>0</v>
      </c>
      <c r="V11" s="25">
        <f>Calc!Y11</f>
        <v>0</v>
      </c>
      <c r="W11" s="20">
        <f>Calc!J11</f>
        <v>0</v>
      </c>
      <c r="X11" s="15"/>
    </row>
    <row r="12" spans="1:24">
      <c r="A12" s="13"/>
      <c r="B12" s="14"/>
      <c r="C12" s="15"/>
      <c r="D12" s="16"/>
      <c r="E12" s="16"/>
      <c r="F12" s="16"/>
      <c r="G12" s="16"/>
      <c r="H12" s="16"/>
      <c r="I12" s="16"/>
      <c r="J12" s="15"/>
      <c r="K12" s="17"/>
      <c r="L12" s="18"/>
      <c r="M12" s="19">
        <f>Calc!N12</f>
        <v>0</v>
      </c>
      <c r="N12" s="20">
        <f>Calc!AB12</f>
        <v>0</v>
      </c>
      <c r="O12" s="20">
        <f>Calc!Z12</f>
        <v>0</v>
      </c>
      <c r="P12" s="21">
        <f>Calc!P12</f>
        <v>0</v>
      </c>
      <c r="Q12" s="22">
        <f>Calc!S12</f>
        <v>0</v>
      </c>
      <c r="R12" s="22">
        <f>Calc!T12</f>
        <v>0</v>
      </c>
      <c r="S12" s="22">
        <f>Calc!V12</f>
        <v>0</v>
      </c>
      <c r="T12" s="23">
        <f>Calc!W12</f>
        <v>0</v>
      </c>
      <c r="U12" s="24">
        <f>Calc!X12</f>
        <v>0</v>
      </c>
      <c r="V12" s="25">
        <f>Calc!Y12</f>
        <v>0</v>
      </c>
      <c r="W12" s="20">
        <f>Calc!J12</f>
        <v>0</v>
      </c>
      <c r="X12" s="15"/>
    </row>
    <row r="13" spans="1:24">
      <c r="A13" s="13"/>
      <c r="B13" s="14"/>
      <c r="C13" s="15"/>
      <c r="D13" s="16"/>
      <c r="E13" s="16"/>
      <c r="F13" s="16"/>
      <c r="G13" s="16"/>
      <c r="H13" s="16"/>
      <c r="I13" s="16"/>
      <c r="J13" s="15"/>
      <c r="K13" s="17"/>
      <c r="L13" s="18"/>
      <c r="M13" s="19">
        <f>Calc!N13</f>
        <v>0</v>
      </c>
      <c r="N13" s="20">
        <f>Calc!AB13</f>
        <v>0</v>
      </c>
      <c r="O13" s="20">
        <f>Calc!Z13</f>
        <v>0</v>
      </c>
      <c r="P13" s="21">
        <f>Calc!P13</f>
        <v>0</v>
      </c>
      <c r="Q13" s="22">
        <f>Calc!S13</f>
        <v>0</v>
      </c>
      <c r="R13" s="22">
        <f>Calc!T13</f>
        <v>0</v>
      </c>
      <c r="S13" s="22">
        <f>Calc!V13</f>
        <v>0</v>
      </c>
      <c r="T13" s="23">
        <f>Calc!W13</f>
        <v>0</v>
      </c>
      <c r="U13" s="24">
        <f>Calc!X13</f>
        <v>0</v>
      </c>
      <c r="V13" s="25">
        <f>Calc!Y13</f>
        <v>0</v>
      </c>
      <c r="W13" s="20">
        <f>Calc!J13</f>
        <v>0</v>
      </c>
      <c r="X13" s="15"/>
    </row>
    <row r="14" spans="1:24">
      <c r="A14" s="13"/>
      <c r="B14" s="14"/>
      <c r="C14" s="15"/>
      <c r="D14" s="16"/>
      <c r="E14" s="16"/>
      <c r="F14" s="16"/>
      <c r="G14" s="16"/>
      <c r="H14" s="16"/>
      <c r="I14" s="16"/>
      <c r="J14" s="15"/>
      <c r="K14" s="17"/>
      <c r="L14" s="18"/>
      <c r="M14" s="19">
        <f>Calc!N14</f>
        <v>0</v>
      </c>
      <c r="N14" s="20">
        <f>Calc!AB14</f>
        <v>0</v>
      </c>
      <c r="O14" s="20">
        <f>Calc!Z14</f>
        <v>0</v>
      </c>
      <c r="P14" s="21">
        <f>Calc!P14</f>
        <v>0</v>
      </c>
      <c r="Q14" s="22">
        <f>Calc!S14</f>
        <v>0</v>
      </c>
      <c r="R14" s="22">
        <f>Calc!T14</f>
        <v>0</v>
      </c>
      <c r="S14" s="22">
        <f>Calc!V14</f>
        <v>0</v>
      </c>
      <c r="T14" s="23">
        <f>Calc!W14</f>
        <v>0</v>
      </c>
      <c r="U14" s="24">
        <f>Calc!X14</f>
        <v>0</v>
      </c>
      <c r="V14" s="25">
        <f>Calc!Y14</f>
        <v>0</v>
      </c>
      <c r="W14" s="20">
        <f>Calc!J14</f>
        <v>0</v>
      </c>
      <c r="X14" s="15"/>
    </row>
    <row r="15" spans="1:24">
      <c r="A15" s="13"/>
      <c r="B15" s="14"/>
      <c r="C15" s="15"/>
      <c r="D15" s="16"/>
      <c r="E15" s="16"/>
      <c r="F15" s="16"/>
      <c r="G15" s="16"/>
      <c r="H15" s="16"/>
      <c r="I15" s="16"/>
      <c r="J15" s="15"/>
      <c r="K15" s="17"/>
      <c r="L15" s="18"/>
      <c r="M15" s="19">
        <f>Calc!N15</f>
        <v>0</v>
      </c>
      <c r="N15" s="20">
        <f>Calc!AB15</f>
        <v>0</v>
      </c>
      <c r="O15" s="20">
        <f>Calc!Z15</f>
        <v>0</v>
      </c>
      <c r="P15" s="21">
        <f>Calc!P15</f>
        <v>0</v>
      </c>
      <c r="Q15" s="22">
        <f>Calc!S15</f>
        <v>0</v>
      </c>
      <c r="R15" s="22">
        <f>Calc!T15</f>
        <v>0</v>
      </c>
      <c r="S15" s="22">
        <f>Calc!V15</f>
        <v>0</v>
      </c>
      <c r="T15" s="23">
        <f>Calc!W15</f>
        <v>0</v>
      </c>
      <c r="U15" s="24">
        <f>Calc!X15</f>
        <v>0</v>
      </c>
      <c r="V15" s="25">
        <f>Calc!Y15</f>
        <v>0</v>
      </c>
      <c r="W15" s="20">
        <f>Calc!J15</f>
        <v>0</v>
      </c>
      <c r="X15" s="15"/>
    </row>
    <row r="17" spans="1:24">
      <c r="A17" s="26" t="s">
        <v>129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</row>
  </sheetData>
  <sheetProtection password="FF01" sheet="1" objects="1" scenarios="1" formatColumns="0" formatRows="0"/>
  <mergeCells count="14">
    <mergeCell ref="A1:X1"/>
    <mergeCell ref="A3:C3"/>
    <mergeCell ref="A4:C4"/>
    <mergeCell ref="A5:C5"/>
    <mergeCell ref="A6:C6"/>
    <mergeCell ref="A7:C7"/>
    <mergeCell ref="A8:C8"/>
    <mergeCell ref="F3:G3"/>
    <mergeCell ref="F4:G4"/>
    <mergeCell ref="F5:G5"/>
    <mergeCell ref="F6:G6"/>
    <mergeCell ref="F7:G7"/>
    <mergeCell ref="J3:X4"/>
    <mergeCell ref="A17:X17"/>
  </mergeCells>
  <conditionalFormatting sqref="A11:X15">
    <cfRule type="expression" dxfId="3" priority="13">
      <formula>ROW()=ROWSEL</formula>
    </cfRule>
  </conditionalFormatting>
  <conditionalFormatting sqref="C11:C15">
    <cfRule type="expression" dxfId="0" priority="1">
      <formula>OR($W11="INSTRUMENT MISSING",$W11="UNKNOWN INSTRUMENT",$W11="INSTRUMENT SPECS MISSING")</formula>
    </cfRule>
  </conditionalFormatting>
  <conditionalFormatting sqref="D11:D15">
    <cfRule type="expression" dxfId="0" priority="2">
      <formula>OR($W11="ENTRY MISSING")</formula>
    </cfRule>
  </conditionalFormatting>
  <conditionalFormatting sqref="D5">
    <cfRule type="cellIs" dxfId="5" priority="27" operator="greaterThan">
      <formula>0</formula>
    </cfRule>
    <cfRule type="cellIs" dxfId="6" priority="28" operator="lessThan">
      <formula>0</formula>
    </cfRule>
  </conditionalFormatting>
  <conditionalFormatting sqref="D7">
    <cfRule type="cellIs" dxfId="5" priority="29" operator="greaterThan">
      <formula>0</formula>
    </cfRule>
    <cfRule type="cellIs" dxfId="6" priority="30" operator="lessThan">
      <formula>0</formula>
    </cfRule>
  </conditionalFormatting>
  <conditionalFormatting sqref="E11:E15">
    <cfRule type="expression" dxfId="0" priority="3">
      <formula>OR($W11="SL MISSING",$W11="SL = ENTRY",$W11="SL WRONG SIDE")</formula>
    </cfRule>
  </conditionalFormatting>
  <conditionalFormatting sqref="F11:F15">
    <cfRule type="expression" dxfId="0" priority="5">
      <formula>OR($W11="TP1 MISSING",$W11="TP1 &amp; MANUAL MISSING",$W11="TP1 &amp; TP2 MISSING",$W11="TP1 WRONG SIDE")</formula>
    </cfRule>
  </conditionalFormatting>
  <conditionalFormatting sqref="G11:G15">
    <cfRule type="expression" dxfId="0" priority="6">
      <formula>OR($W11="TP2 MISSING",$W11="TP1 &amp; TP2 MISSING",$W11="TP2 WRONG SIDE")</formula>
    </cfRule>
  </conditionalFormatting>
  <conditionalFormatting sqref="H11:H15">
    <cfRule type="expression" dxfId="0" priority="7">
      <formula>OR($W11="TP3 WRONG SIDE")</formula>
    </cfRule>
  </conditionalFormatting>
  <conditionalFormatting sqref="I11:I15">
    <cfRule type="expression" dxfId="0" priority="8">
      <formula>OR($W11="MANUAL MISSING",$W11="TP1 &amp; MANUAL MISSING")</formula>
    </cfRule>
  </conditionalFormatting>
  <conditionalFormatting sqref="J11:J15">
    <cfRule type="expression" dxfId="0" priority="9">
      <formula>OR($W11="UNKNOWN OUTCOME")</formula>
    </cfRule>
  </conditionalFormatting>
  <conditionalFormatting sqref="K11:K15">
    <cfRule type="expression" dxfId="0" priority="4">
      <formula>OR($W11="RISK MISSING",$W11="LOTS MISSING",$W11="RISK % TOO HIGH")</formula>
    </cfRule>
    <cfRule type="expression" dxfId="4" priority="14">
      <formula>$H$3="Fixed lots"</formula>
    </cfRule>
  </conditionalFormatting>
  <conditionalFormatting sqref="L11:L15">
    <cfRule type="expression" dxfId="0" priority="10">
      <formula>OR($W11="TP1 % INVALID")</formula>
    </cfRule>
  </conditionalFormatting>
  <conditionalFormatting sqref="N11:N15">
    <cfRule type="cellIs" dxfId="5" priority="15" operator="equal">
      <formula>"LONG"</formula>
    </cfRule>
    <cfRule type="cellIs" dxfId="6" priority="16" operator="equal">
      <formula>"SHORT"</formula>
    </cfRule>
  </conditionalFormatting>
  <conditionalFormatting sqref="Q11:Q15">
    <cfRule type="expression" dxfId="5" priority="17">
      <formula>AND(ISNUMBER(Q11),Q11&gt;0)</formula>
    </cfRule>
    <cfRule type="expression" dxfId="6" priority="18">
      <formula>AND(ISNUMBER(Q11),Q11&lt;0)</formula>
    </cfRule>
  </conditionalFormatting>
  <conditionalFormatting sqref="R11:R15">
    <cfRule type="expression" dxfId="5" priority="19">
      <formula>AND(ISNUMBER(R11),R11&gt;0)</formula>
    </cfRule>
    <cfRule type="expression" dxfId="6" priority="20">
      <formula>AND(ISNUMBER(R11),R11&lt;0)</formula>
    </cfRule>
  </conditionalFormatting>
  <conditionalFormatting sqref="S11:S15">
    <cfRule type="expression" dxfId="5" priority="21">
      <formula>AND(ISNUMBER(S11),S11&gt;0)</formula>
    </cfRule>
    <cfRule type="expression" dxfId="6" priority="22">
      <formula>AND(ISNUMBER(S11),S11&lt;0)</formula>
    </cfRule>
  </conditionalFormatting>
  <conditionalFormatting sqref="T11:T15">
    <cfRule type="expression" dxfId="5" priority="23">
      <formula>AND(ISNUMBER(T11),T11&gt;0)</formula>
    </cfRule>
    <cfRule type="expression" dxfId="6" priority="24">
      <formula>AND(ISNUMBER(T11),T11&lt;0)</formula>
    </cfRule>
  </conditionalFormatting>
  <conditionalFormatting sqref="U11:U15">
    <cfRule type="expression" dxfId="5" priority="25">
      <formula>AND(ISNUMBER(U11),U11&gt;0)</formula>
    </cfRule>
    <cfRule type="expression" dxfId="6" priority="26">
      <formula>AND(ISNUMBER(U11),U11&lt;0)</formula>
    </cfRule>
  </conditionalFormatting>
  <conditionalFormatting sqref="W11:W15">
    <cfRule type="expression" dxfId="1" priority="11">
      <formula>AND($W11&lt;&gt;"",$W11&lt;&gt;"OK",$W11&lt;&gt;"OPEN")</formula>
    </cfRule>
    <cfRule type="expression" dxfId="2" priority="12">
      <formula>OR($W11="OK",$W11="OPEN")</formula>
    </cfRule>
  </conditionalFormatting>
  <dataValidations count="17">
    <dataValidation type="list" allowBlank="1" showInputMessage="1" showErrorMessage="1" sqref="H3">
      <formula1>Settings!$M$5:$M$6</formula1>
    </dataValidation>
    <dataValidation type="list" allowBlank="1" showInputMessage="1" showErrorMessage="1" sqref="H4">
      <formula1>Settings!$O$5:$O$6</formula1>
    </dataValidation>
    <dataValidation type="decimal" operator="greaterThan" allowBlank="1" showInputMessage="1" showErrorMessage="1" sqref="D3">
      <formula1>0</formula1>
    </dataValidation>
    <dataValidation type="decimal" operator="greaterThanOrEqual" allowBlank="1" showInputMessage="1" showErrorMessage="1" sqref="D4">
      <formula1>0</formula1>
    </dataValidation>
    <dataValidation type="decimal" allowBlank="1" showInputMessage="1" showErrorMessage="1" promptTitle="Time zone" prompt="Hours from UTC of the times you type (e.g. 2 for UTC+2, -5 for New York winter). No DST handling." sqref="D8">
      <formula1>-12</formula1>
      <formula2>14</formula2>
    </dataValidation>
    <dataValidation type="list" allowBlank="1" showInputMessage="1" showErrorMessage="1" errorTitle="Instrument" error="Pick an instrument from the list. Add new ones on the Markets sheet." sqref="C11:C15">
      <formula1>INSTR_LIST</formula1>
    </dataValidation>
    <dataValidation type="list" allowBlank="1" showInputMessage="1" showErrorMessage="1" sqref="J11:J15">
      <formula1>Settings!$G$5:$G$10</formula1>
    </dataValidation>
    <dataValidation type="list" allowBlank="1" showInputMessage="1" promptTitle="Risk" prompt="% of account (1% = 0.01), or lots when Risk mode = Fixed lots." sqref="K11:K15">
      <formula1>RISK_LIST</formula1>
    </dataValidation>
    <dataValidation type="decimal" allowBlank="1" showInputMessage="1" showErrorMessage="1" error="Enter a share between 1% and 99% (blank = 50%)." promptTitle="TP1 close %" prompt="Share closed at TP1 for 'TP1 + Breakeven' and 'TP1 + Manual'. Blank = 50%." sqref="L11:L15">
      <formula1>0.01</formula1>
      <formula2>0.99</formula2>
    </dataValidation>
    <dataValidation type="decimal" operator="greaterThan" allowBlank="1" showInputMessage="1" showErrorMessage="1" error="Prices must be positive numbers." sqref="D11:D15">
      <formula1>0</formula1>
    </dataValidation>
    <dataValidation type="decimal" operator="greaterThan" allowBlank="1" showInputMessage="1" showErrorMessage="1" error="Prices must be positive numbers." sqref="E11:E15">
      <formula1>0</formula1>
    </dataValidation>
    <dataValidation type="decimal" operator="greaterThan" allowBlank="1" showInputMessage="1" showErrorMessage="1" error="Prices must be positive numbers." sqref="F11:F15">
      <formula1>0</formula1>
    </dataValidation>
    <dataValidation type="decimal" operator="greaterThan" allowBlank="1" showInputMessage="1" showErrorMessage="1" error="Prices must be positive numbers." sqref="G11:G15">
      <formula1>0</formula1>
    </dataValidation>
    <dataValidation type="decimal" operator="greaterThan" allowBlank="1" showInputMessage="1" showErrorMessage="1" error="Prices must be positive numbers." sqref="H11:H15">
      <formula1>0</formula1>
    </dataValidation>
    <dataValidation type="decimal" operator="greaterThan" allowBlank="1" showInputMessage="1" showErrorMessage="1" error="Prices must be positive numbers." sqref="I11:I15">
      <formula1>0</formula1>
    </dataValidation>
    <dataValidation type="date" errorStyle="warning" allowBlank="1" showInputMessage="1" showErrorMessage="1" error="Type a date, e.g. 2026-09-01." sqref="A11:A15">
      <formula1>32874</formula1>
      <formula2>73415</formula2>
    </dataValidation>
    <dataValidation type="time" errorStyle="warning" allowBlank="1" showInputMessage="1" showErrorMessage="1" error="Type a time, e.g. 14:30." sqref="B11:B15">
      <formula1>0</formula1>
      <formula2>0.999988425925926</formula2>
    </dataValidation>
  </dataValidations>
  <pageMargins left="0.7" right="0.7" top="0.75" bottom="0.75" header="0.3" footer="0.3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B60"/>
  <sheetViews>
    <sheetView showGridLines="0" workbookViewId="0">
      <pane ySplit="2" topLeftCell="A3" activePane="bottomLeft" state="frozen"/>
      <selection pane="bottomLeft"/>
    </sheetView>
  </sheetViews>
  <sheetFormatPr defaultRowHeight="15"/>
  <cols>
    <col min="1" max="1" width="32.7109375" style="1" customWidth="1"/>
    <col min="2" max="2" width="13.7109375" style="1" customWidth="1"/>
    <col min="3" max="28" width="9.28515625" style="1" customWidth="1"/>
  </cols>
  <sheetData>
    <row r="1" spans="1:26" ht="24" customHeight="1">
      <c r="A1" s="2" t="s">
        <v>205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s="1" customFormat="1"/>
    <row r="3" spans="1:26" s="1" customFormat="1">
      <c r="A3" s="27" t="s">
        <v>206</v>
      </c>
    </row>
    <row r="4" spans="1:26" s="1" customFormat="1"/>
    <row r="5" spans="1:26" s="1" customFormat="1">
      <c r="A5" s="28" t="s">
        <v>207</v>
      </c>
      <c r="B5" s="29">
        <f>Calc!$AZ$11</f>
        <v>0</v>
      </c>
    </row>
    <row r="6" spans="1:26" s="1" customFormat="1">
      <c r="A6" s="28" t="s">
        <v>208</v>
      </c>
      <c r="B6" s="29">
        <f>Calc!$AZ$12</f>
        <v>0</v>
      </c>
    </row>
    <row r="7" spans="1:26" s="1" customFormat="1">
      <c r="A7" s="28" t="s">
        <v>209</v>
      </c>
      <c r="B7" s="29">
        <f>Calc!$AZ$13</f>
        <v>0</v>
      </c>
    </row>
    <row r="8" spans="1:26" s="1" customFormat="1">
      <c r="A8" s="28" t="s">
        <v>210</v>
      </c>
      <c r="B8" s="29">
        <f>Calc!$AZ$14</f>
        <v>0</v>
      </c>
    </row>
    <row r="9" spans="1:26" s="1" customFormat="1">
      <c r="A9" s="28" t="s">
        <v>211</v>
      </c>
      <c r="B9" s="30">
        <f>Calc!$AZ$15</f>
        <v>0</v>
      </c>
    </row>
    <row r="10" spans="1:26" s="1" customFormat="1">
      <c r="A10" s="28" t="s">
        <v>212</v>
      </c>
      <c r="B10" s="31">
        <f>Calc!$AZ$16</f>
        <v>0</v>
      </c>
    </row>
    <row r="11" spans="1:26" s="1" customFormat="1">
      <c r="A11" s="28" t="s">
        <v>213</v>
      </c>
      <c r="B11" s="31">
        <f>Calc!$AZ$17</f>
        <v>0</v>
      </c>
    </row>
    <row r="12" spans="1:26" s="1" customFormat="1">
      <c r="A12" s="28" t="s">
        <v>214</v>
      </c>
      <c r="B12" s="31">
        <f>Calc!$AZ$18</f>
        <v>0</v>
      </c>
    </row>
    <row r="13" spans="1:26" s="1" customFormat="1">
      <c r="A13" s="28" t="s">
        <v>215</v>
      </c>
      <c r="B13" s="31">
        <f>Calc!$AZ$19</f>
        <v>0</v>
      </c>
    </row>
    <row r="14" spans="1:26" s="1" customFormat="1">
      <c r="A14" s="28" t="s">
        <v>216</v>
      </c>
      <c r="B14" s="31">
        <f>Calc!$AZ$20</f>
        <v>0</v>
      </c>
    </row>
    <row r="15" spans="1:26" s="1" customFormat="1">
      <c r="A15" s="28" t="s">
        <v>217</v>
      </c>
      <c r="B15" s="31">
        <f>Calc!$AZ$21</f>
        <v>0</v>
      </c>
    </row>
    <row r="16" spans="1:26" s="1" customFormat="1">
      <c r="A16" s="28" t="s">
        <v>218</v>
      </c>
      <c r="B16" s="32">
        <f>Calc!$AZ$22</f>
        <v>0</v>
      </c>
    </row>
    <row r="17" spans="1:2" s="1" customFormat="1">
      <c r="A17" s="28" t="s">
        <v>219</v>
      </c>
      <c r="B17" s="32">
        <f>Calc!$AZ$23</f>
        <v>0</v>
      </c>
    </row>
    <row r="18" spans="1:2" s="1" customFormat="1">
      <c r="A18" s="28" t="s">
        <v>220</v>
      </c>
      <c r="B18" s="32">
        <f>Calc!$AZ$24</f>
        <v>0</v>
      </c>
    </row>
    <row r="19" spans="1:2" s="1" customFormat="1">
      <c r="A19" s="28" t="s">
        <v>221</v>
      </c>
      <c r="B19" s="33">
        <f>Calc!$AZ$25</f>
        <v>0</v>
      </c>
    </row>
    <row r="20" spans="1:2" s="1" customFormat="1">
      <c r="A20" s="28" t="s">
        <v>222</v>
      </c>
      <c r="B20" s="31">
        <f>Calc!$AZ$26</f>
        <v>0</v>
      </c>
    </row>
    <row r="21" spans="1:2" s="1" customFormat="1">
      <c r="A21" s="28" t="s">
        <v>223</v>
      </c>
      <c r="B21" s="31">
        <f>Calc!$AZ$27</f>
        <v>0</v>
      </c>
    </row>
    <row r="22" spans="1:2" s="1" customFormat="1">
      <c r="A22" s="28" t="s">
        <v>224</v>
      </c>
      <c r="B22" s="31">
        <f>Calc!$AZ$28</f>
        <v>0</v>
      </c>
    </row>
    <row r="23" spans="1:2" s="1" customFormat="1">
      <c r="A23" s="28" t="s">
        <v>225</v>
      </c>
      <c r="B23" s="34">
        <f>Calc!$AZ$29</f>
        <v>0</v>
      </c>
    </row>
    <row r="24" spans="1:2" s="1" customFormat="1">
      <c r="A24" s="28" t="s">
        <v>106</v>
      </c>
      <c r="B24" s="29">
        <f>Calc!$AZ$30</f>
        <v>0</v>
      </c>
    </row>
    <row r="25" spans="1:2" s="1" customFormat="1">
      <c r="A25" s="28" t="s">
        <v>107</v>
      </c>
      <c r="B25" s="29">
        <f>Calc!$AZ$31</f>
        <v>0</v>
      </c>
    </row>
    <row r="26" spans="1:2" s="1" customFormat="1"/>
    <row r="27" spans="1:2" s="1" customFormat="1">
      <c r="A27" s="35" t="s">
        <v>226</v>
      </c>
    </row>
    <row r="28" spans="1:2" s="1" customFormat="1"/>
    <row r="29" spans="1:2" s="1" customFormat="1"/>
    <row r="30" spans="1:2" s="1" customFormat="1"/>
    <row r="31" spans="1:2" s="1" customFormat="1"/>
    <row r="32" spans="1: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</sheetData>
  <sheetProtection sheet="1" objects="1" scenarios="1"/>
  <mergeCells count="1">
    <mergeCell ref="A1:Z1"/>
  </mergeCells>
  <conditionalFormatting sqref="B10">
    <cfRule type="cellIs" dxfId="5" priority="1" operator="greaterThan">
      <formula>0</formula>
    </cfRule>
    <cfRule type="cellIs" dxfId="6" priority="2" operator="lessThan">
      <formula>0</formula>
    </cfRule>
  </conditionalFormatting>
  <conditionalFormatting sqref="B12">
    <cfRule type="cellIs" dxfId="5" priority="3" operator="greaterThan">
      <formula>0</formula>
    </cfRule>
    <cfRule type="cellIs" dxfId="6" priority="4" operator="lessThan">
      <formula>0</formula>
    </cfRule>
  </conditionalFormatting>
  <conditionalFormatting sqref="B13">
    <cfRule type="cellIs" dxfId="5" priority="5" operator="greaterThan">
      <formula>0</formula>
    </cfRule>
    <cfRule type="cellIs" dxfId="6" priority="6" operator="lessThan">
      <formula>0</formula>
    </cfRule>
  </conditionalFormatting>
  <conditionalFormatting sqref="B14">
    <cfRule type="cellIs" dxfId="5" priority="7" operator="greaterThan">
      <formula>0</formula>
    </cfRule>
    <cfRule type="cellIs" dxfId="6" priority="8" operator="lessThan">
      <formula>0</formula>
    </cfRule>
  </conditionalFormatting>
  <conditionalFormatting sqref="B15">
    <cfRule type="cellIs" dxfId="5" priority="9" operator="greaterThan">
      <formula>0</formula>
    </cfRule>
    <cfRule type="cellIs" dxfId="6" priority="10" operator="lessThan">
      <formula>0</formula>
    </cfRule>
  </conditionalFormatting>
  <conditionalFormatting sqref="B19">
    <cfRule type="cellIs" dxfId="5" priority="11" operator="greaterThan">
      <formula>0</formula>
    </cfRule>
    <cfRule type="cellIs" dxfId="6" priority="12" operator="lessThan">
      <formula>0</formula>
    </cfRule>
  </conditionalFormatting>
  <conditionalFormatting sqref="B20">
    <cfRule type="cellIs" dxfId="5" priority="13" operator="greaterThan">
      <formula>0</formula>
    </cfRule>
    <cfRule type="cellIs" dxfId="6" priority="14" operator="lessThan">
      <formula>0</formula>
    </cfRule>
  </conditionalFormatting>
  <conditionalFormatting sqref="B21">
    <cfRule type="cellIs" dxfId="5" priority="15" operator="greaterThan">
      <formula>0</formula>
    </cfRule>
    <cfRule type="cellIs" dxfId="6" priority="16" operator="lessThan">
      <formula>0</formula>
    </cfRule>
  </conditionalFormatting>
  <conditionalFormatting sqref="B22">
    <cfRule type="cellIs" dxfId="5" priority="17" operator="greaterThan">
      <formula>0</formula>
    </cfRule>
    <cfRule type="cellIs" dxfId="6" priority="18" operator="lessThan">
      <formula>0</formula>
    </cfRule>
  </conditionalFormatting>
  <conditionalFormatting sqref="B23">
    <cfRule type="cellIs" dxfId="5" priority="19" operator="greaterThan">
      <formula>0</formula>
    </cfRule>
    <cfRule type="cellIs" dxfId="6" priority="20" operator="lessThan">
      <formula>0</formula>
    </cfRule>
  </conditionalFormatting>
  <pageMargins left="0.7" right="0.7" top="0.75" bottom="0.75" header="0.3" footer="0.3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M15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1.7109375" style="1" customWidth="1"/>
    <col min="2" max="2" width="9.7109375" style="1" customWidth="1"/>
    <col min="3" max="3" width="13.7109375" style="1" customWidth="1"/>
    <col min="4" max="4" width="11.7109375" style="1" customWidth="1"/>
    <col min="5" max="5" width="10.7109375" style="1" customWidth="1"/>
    <col min="6" max="8" width="13.7109375" style="1" customWidth="1"/>
    <col min="9" max="9" width="14.7109375" style="1" customWidth="1"/>
    <col min="10" max="10" width="40.7109375" style="1" customWidth="1"/>
    <col min="11" max="11" width="3.7109375" style="1" customWidth="1"/>
    <col min="12" max="13" width="12.7109375" style="1" customWidth="1"/>
  </cols>
  <sheetData>
    <row r="1" spans="1:13">
      <c r="A1" s="27" t="s">
        <v>30</v>
      </c>
    </row>
    <row r="2" spans="1:13">
      <c r="A2" s="36" t="s">
        <v>31</v>
      </c>
    </row>
    <row r="3" spans="1:13">
      <c r="L3" s="3" t="s">
        <v>95</v>
      </c>
    </row>
    <row r="4" spans="1:13" ht="42" customHeight="1">
      <c r="A4" s="12" t="s">
        <v>32</v>
      </c>
      <c r="B4" s="12" t="s">
        <v>33</v>
      </c>
      <c r="C4" s="12" t="s">
        <v>34</v>
      </c>
      <c r="D4" s="12" t="s">
        <v>35</v>
      </c>
      <c r="E4" s="12" t="s">
        <v>36</v>
      </c>
      <c r="F4" s="12" t="s">
        <v>37</v>
      </c>
      <c r="G4" s="12" t="s">
        <v>38</v>
      </c>
      <c r="H4" s="12" t="s">
        <v>39</v>
      </c>
      <c r="I4" s="12" t="s">
        <v>40</v>
      </c>
      <c r="J4" s="12" t="s">
        <v>41</v>
      </c>
      <c r="L4" s="12">
        <f>"Currency"</f>
        <v>0</v>
      </c>
      <c r="M4" s="12">
        <f>"1 unit in "&amp;Journal!$H$5</f>
        <v>0</v>
      </c>
    </row>
    <row r="5" spans="1:13">
      <c r="A5" s="37" t="s">
        <v>42</v>
      </c>
      <c r="B5" s="37" t="s">
        <v>43</v>
      </c>
      <c r="C5" s="38">
        <v>100000</v>
      </c>
      <c r="D5" s="39">
        <v>0.0001</v>
      </c>
      <c r="E5" s="37" t="s">
        <v>44</v>
      </c>
      <c r="F5" s="40">
        <f>IF(E5="","",IFERROR(VLOOKUP(E5,$L$5:$M$24,2,FALSE),""))</f>
        <v>0</v>
      </c>
      <c r="G5" s="41"/>
      <c r="H5" s="42"/>
      <c r="I5" s="21">
        <f>IF(OR(C5="",D5="",F5=""),"",C5*D5*F5)</f>
        <v>0</v>
      </c>
      <c r="J5" s="37"/>
      <c r="L5" s="37" t="s">
        <v>44</v>
      </c>
      <c r="M5" s="43">
        <v>1</v>
      </c>
    </row>
    <row r="6" spans="1:13">
      <c r="A6" s="37" t="s">
        <v>45</v>
      </c>
      <c r="B6" s="37" t="s">
        <v>43</v>
      </c>
      <c r="C6" s="38">
        <v>100000</v>
      </c>
      <c r="D6" s="39">
        <v>0.0001</v>
      </c>
      <c r="E6" s="37" t="s">
        <v>44</v>
      </c>
      <c r="F6" s="40">
        <f>IF(E6="","",IFERROR(VLOOKUP(E6,$L$5:$M$24,2,FALSE),""))</f>
        <v>0</v>
      </c>
      <c r="G6" s="41"/>
      <c r="H6" s="42"/>
      <c r="I6" s="21">
        <f>IF(OR(C6="",D6="",F6=""),"",C6*D6*F6)</f>
        <v>0</v>
      </c>
      <c r="J6" s="37"/>
      <c r="L6" s="37" t="s">
        <v>83</v>
      </c>
      <c r="M6" s="43">
        <v>1.16</v>
      </c>
    </row>
    <row r="7" spans="1:13">
      <c r="A7" s="37" t="s">
        <v>46</v>
      </c>
      <c r="B7" s="37" t="s">
        <v>43</v>
      </c>
      <c r="C7" s="38">
        <v>100000</v>
      </c>
      <c r="D7" s="39">
        <v>0.0001</v>
      </c>
      <c r="E7" s="37" t="s">
        <v>44</v>
      </c>
      <c r="F7" s="40">
        <f>IF(E7="","",IFERROR(VLOOKUP(E7,$L$5:$M$24,2,FALSE),""))</f>
        <v>0</v>
      </c>
      <c r="G7" s="41"/>
      <c r="H7" s="42"/>
      <c r="I7" s="21">
        <f>IF(OR(C7="",D7="",F7=""),"",C7*D7*F7)</f>
        <v>0</v>
      </c>
      <c r="J7" s="37"/>
      <c r="L7" s="37" t="s">
        <v>55</v>
      </c>
      <c r="M7" s="43">
        <v>1.34</v>
      </c>
    </row>
    <row r="8" spans="1:13">
      <c r="A8" s="37" t="s">
        <v>47</v>
      </c>
      <c r="B8" s="37" t="s">
        <v>43</v>
      </c>
      <c r="C8" s="38">
        <v>100000</v>
      </c>
      <c r="D8" s="39">
        <v>0.0001</v>
      </c>
      <c r="E8" s="37" t="s">
        <v>44</v>
      </c>
      <c r="F8" s="40">
        <f>IF(E8="","",IFERROR(VLOOKUP(E8,$L$5:$M$24,2,FALSE),""))</f>
        <v>0</v>
      </c>
      <c r="G8" s="41"/>
      <c r="H8" s="42"/>
      <c r="I8" s="21">
        <f>IF(OR(C8="",D8="",F8=""),"",C8*D8*F8)</f>
        <v>0</v>
      </c>
      <c r="J8" s="37"/>
      <c r="L8" s="37" t="s">
        <v>49</v>
      </c>
      <c r="M8" s="43">
        <v>0.0067</v>
      </c>
    </row>
    <row r="9" spans="1:13">
      <c r="A9" s="37" t="s">
        <v>48</v>
      </c>
      <c r="B9" s="37" t="s">
        <v>43</v>
      </c>
      <c r="C9" s="38">
        <v>100000</v>
      </c>
      <c r="D9" s="39">
        <v>0.01</v>
      </c>
      <c r="E9" s="37" t="s">
        <v>49</v>
      </c>
      <c r="F9" s="40">
        <f>IF(E9="","",IFERROR(VLOOKUP(E9,$L$5:$M$24,2,FALSE),""))</f>
        <v>0</v>
      </c>
      <c r="G9" s="41"/>
      <c r="H9" s="42"/>
      <c r="I9" s="21">
        <f>IF(OR(C9="",D9="",F9=""),"",C9*D9*F9)</f>
        <v>0</v>
      </c>
      <c r="J9" s="37"/>
      <c r="L9" s="37" t="s">
        <v>51</v>
      </c>
      <c r="M9" s="43">
        <v>1.25</v>
      </c>
    </row>
    <row r="10" spans="1:13">
      <c r="A10" s="37" t="s">
        <v>50</v>
      </c>
      <c r="B10" s="37" t="s">
        <v>43</v>
      </c>
      <c r="C10" s="38">
        <v>100000</v>
      </c>
      <c r="D10" s="39">
        <v>0.0001</v>
      </c>
      <c r="E10" s="37" t="s">
        <v>51</v>
      </c>
      <c r="F10" s="40">
        <f>IF(E10="","",IFERROR(VLOOKUP(E10,$L$5:$M$24,2,FALSE),""))</f>
        <v>0</v>
      </c>
      <c r="G10" s="41"/>
      <c r="H10" s="42"/>
      <c r="I10" s="21">
        <f>IF(OR(C10="",D10="",F10=""),"",C10*D10*F10)</f>
        <v>0</v>
      </c>
      <c r="J10" s="37"/>
      <c r="L10" s="37" t="s">
        <v>53</v>
      </c>
      <c r="M10" s="43">
        <v>0.725</v>
      </c>
    </row>
    <row r="11" spans="1:13">
      <c r="A11" s="37" t="s">
        <v>52</v>
      </c>
      <c r="B11" s="37" t="s">
        <v>43</v>
      </c>
      <c r="C11" s="38">
        <v>100000</v>
      </c>
      <c r="D11" s="39">
        <v>0.0001</v>
      </c>
      <c r="E11" s="37" t="s">
        <v>53</v>
      </c>
      <c r="F11" s="40">
        <f>IF(E11="","",IFERROR(VLOOKUP(E11,$L$5:$M$24,2,FALSE),""))</f>
        <v>0</v>
      </c>
      <c r="G11" s="41"/>
      <c r="H11" s="42"/>
      <c r="I11" s="21">
        <f>IF(OR(C11="",D11="",F11=""),"",C11*D11*F11)</f>
        <v>0</v>
      </c>
      <c r="J11" s="37"/>
      <c r="L11" s="37" t="s">
        <v>64</v>
      </c>
      <c r="M11" s="43">
        <v>0.65</v>
      </c>
    </row>
    <row r="12" spans="1:13">
      <c r="A12" s="37" t="s">
        <v>54</v>
      </c>
      <c r="B12" s="37" t="s">
        <v>43</v>
      </c>
      <c r="C12" s="38">
        <v>100000</v>
      </c>
      <c r="D12" s="39">
        <v>0.0001</v>
      </c>
      <c r="E12" s="37" t="s">
        <v>55</v>
      </c>
      <c r="F12" s="40">
        <f>IF(E12="","",IFERROR(VLOOKUP(E12,$L$5:$M$24,2,FALSE),""))</f>
        <v>0</v>
      </c>
      <c r="G12" s="41"/>
      <c r="H12" s="42"/>
      <c r="I12" s="21">
        <f>IF(OR(C12="",D12="",F12=""),"",C12*D12*F12)</f>
        <v>0</v>
      </c>
      <c r="J12" s="37"/>
      <c r="L12" s="37" t="s">
        <v>70</v>
      </c>
      <c r="M12" s="43">
        <v>0.58</v>
      </c>
    </row>
    <row r="13" spans="1:13">
      <c r="A13" s="37" t="s">
        <v>56</v>
      </c>
      <c r="B13" s="37" t="s">
        <v>43</v>
      </c>
      <c r="C13" s="38">
        <v>100000</v>
      </c>
      <c r="D13" s="39">
        <v>0.01</v>
      </c>
      <c r="E13" s="37" t="s">
        <v>49</v>
      </c>
      <c r="F13" s="40">
        <f>IF(E13="","",IFERROR(VLOOKUP(E13,$L$5:$M$24,2,FALSE),""))</f>
        <v>0</v>
      </c>
      <c r="G13" s="41"/>
      <c r="H13" s="42"/>
      <c r="I13" s="21">
        <f>IF(OR(C13="",D13="",F13=""),"",C13*D13*F13)</f>
        <v>0</v>
      </c>
      <c r="J13" s="37"/>
      <c r="L13" s="37"/>
      <c r="M13" s="43"/>
    </row>
    <row r="14" spans="1:13">
      <c r="A14" s="37" t="s">
        <v>57</v>
      </c>
      <c r="B14" s="37" t="s">
        <v>43</v>
      </c>
      <c r="C14" s="38">
        <v>100000</v>
      </c>
      <c r="D14" s="39">
        <v>0.01</v>
      </c>
      <c r="E14" s="37" t="s">
        <v>49</v>
      </c>
      <c r="F14" s="40">
        <f>IF(E14="","",IFERROR(VLOOKUP(E14,$L$5:$M$24,2,FALSE),""))</f>
        <v>0</v>
      </c>
      <c r="G14" s="41"/>
      <c r="H14" s="42"/>
      <c r="I14" s="21">
        <f>IF(OR(C14="",D14="",F14=""),"",C14*D14*F14)</f>
        <v>0</v>
      </c>
      <c r="J14" s="37"/>
      <c r="L14" s="37"/>
      <c r="M14" s="43"/>
    </row>
    <row r="15" spans="1:13">
      <c r="A15" s="37" t="s">
        <v>58</v>
      </c>
      <c r="B15" s="37" t="s">
        <v>43</v>
      </c>
      <c r="C15" s="38">
        <v>100000</v>
      </c>
      <c r="D15" s="39">
        <v>0.01</v>
      </c>
      <c r="E15" s="37" t="s">
        <v>49</v>
      </c>
      <c r="F15" s="40">
        <f>IF(E15="","",IFERROR(VLOOKUP(E15,$L$5:$M$24,2,FALSE),""))</f>
        <v>0</v>
      </c>
      <c r="G15" s="41"/>
      <c r="H15" s="42"/>
      <c r="I15" s="21">
        <f>IF(OR(C15="",D15="",F15=""),"",C15*D15*F15)</f>
        <v>0</v>
      </c>
      <c r="J15" s="37"/>
      <c r="L15" s="37"/>
      <c r="M15" s="43"/>
    </row>
    <row r="16" spans="1:13">
      <c r="A16" s="37" t="s">
        <v>59</v>
      </c>
      <c r="B16" s="37" t="s">
        <v>43</v>
      </c>
      <c r="C16" s="38">
        <v>100000</v>
      </c>
      <c r="D16" s="39">
        <v>0.01</v>
      </c>
      <c r="E16" s="37" t="s">
        <v>49</v>
      </c>
      <c r="F16" s="40">
        <f>IF(E16="","",IFERROR(VLOOKUP(E16,$L$5:$M$24,2,FALSE),""))</f>
        <v>0</v>
      </c>
      <c r="G16" s="41"/>
      <c r="H16" s="42"/>
      <c r="I16" s="21">
        <f>IF(OR(C16="",D16="",F16=""),"",C16*D16*F16)</f>
        <v>0</v>
      </c>
      <c r="J16" s="37"/>
      <c r="L16" s="37"/>
      <c r="M16" s="43"/>
    </row>
    <row r="17" spans="1:13">
      <c r="A17" s="37" t="s">
        <v>60</v>
      </c>
      <c r="B17" s="37" t="s">
        <v>43</v>
      </c>
      <c r="C17" s="38">
        <v>100000</v>
      </c>
      <c r="D17" s="39">
        <v>0.01</v>
      </c>
      <c r="E17" s="37" t="s">
        <v>49</v>
      </c>
      <c r="F17" s="40">
        <f>IF(E17="","",IFERROR(VLOOKUP(E17,$L$5:$M$24,2,FALSE),""))</f>
        <v>0</v>
      </c>
      <c r="G17" s="41"/>
      <c r="H17" s="42"/>
      <c r="I17" s="21">
        <f>IF(OR(C17="",D17="",F17=""),"",C17*D17*F17)</f>
        <v>0</v>
      </c>
      <c r="J17" s="37"/>
      <c r="L17" s="37"/>
      <c r="M17" s="43"/>
    </row>
    <row r="18" spans="1:13">
      <c r="A18" s="37" t="s">
        <v>61</v>
      </c>
      <c r="B18" s="37" t="s">
        <v>43</v>
      </c>
      <c r="C18" s="38">
        <v>100000</v>
      </c>
      <c r="D18" s="39">
        <v>0.01</v>
      </c>
      <c r="E18" s="37" t="s">
        <v>49</v>
      </c>
      <c r="F18" s="40">
        <f>IF(E18="","",IFERROR(VLOOKUP(E18,$L$5:$M$24,2,FALSE),""))</f>
        <v>0</v>
      </c>
      <c r="G18" s="41"/>
      <c r="H18" s="42"/>
      <c r="I18" s="21">
        <f>IF(OR(C18="",D18="",F18=""),"",C18*D18*F18)</f>
        <v>0</v>
      </c>
      <c r="J18" s="37"/>
      <c r="L18" s="37"/>
      <c r="M18" s="43"/>
    </row>
    <row r="19" spans="1:13">
      <c r="A19" s="37" t="s">
        <v>62</v>
      </c>
      <c r="B19" s="37" t="s">
        <v>43</v>
      </c>
      <c r="C19" s="38">
        <v>100000</v>
      </c>
      <c r="D19" s="39">
        <v>0.0001</v>
      </c>
      <c r="E19" s="37" t="s">
        <v>51</v>
      </c>
      <c r="F19" s="40">
        <f>IF(E19="","",IFERROR(VLOOKUP(E19,$L$5:$M$24,2,FALSE),""))</f>
        <v>0</v>
      </c>
      <c r="G19" s="41"/>
      <c r="H19" s="42"/>
      <c r="I19" s="21">
        <f>IF(OR(C19="",D19="",F19=""),"",C19*D19*F19)</f>
        <v>0</v>
      </c>
      <c r="J19" s="37"/>
      <c r="L19" s="37"/>
      <c r="M19" s="43"/>
    </row>
    <row r="20" spans="1:13">
      <c r="A20" s="37" t="s">
        <v>63</v>
      </c>
      <c r="B20" s="37" t="s">
        <v>43</v>
      </c>
      <c r="C20" s="38">
        <v>100000</v>
      </c>
      <c r="D20" s="39">
        <v>0.0001</v>
      </c>
      <c r="E20" s="37" t="s">
        <v>64</v>
      </c>
      <c r="F20" s="40">
        <f>IF(E20="","",IFERROR(VLOOKUP(E20,$L$5:$M$24,2,FALSE),""))</f>
        <v>0</v>
      </c>
      <c r="G20" s="41"/>
      <c r="H20" s="42"/>
      <c r="I20" s="21">
        <f>IF(OR(C20="",D20="",F20=""),"",C20*D20*F20)</f>
        <v>0</v>
      </c>
      <c r="J20" s="37"/>
      <c r="L20" s="37"/>
      <c r="M20" s="43"/>
    </row>
    <row r="21" spans="1:13">
      <c r="A21" s="37" t="s">
        <v>65</v>
      </c>
      <c r="B21" s="37" t="s">
        <v>43</v>
      </c>
      <c r="C21" s="38">
        <v>100000</v>
      </c>
      <c r="D21" s="39">
        <v>0.0001</v>
      </c>
      <c r="E21" s="37" t="s">
        <v>53</v>
      </c>
      <c r="F21" s="40">
        <f>IF(E21="","",IFERROR(VLOOKUP(E21,$L$5:$M$24,2,FALSE),""))</f>
        <v>0</v>
      </c>
      <c r="G21" s="41"/>
      <c r="H21" s="42"/>
      <c r="I21" s="21">
        <f>IF(OR(C21="",D21="",F21=""),"",C21*D21*F21)</f>
        <v>0</v>
      </c>
      <c r="J21" s="37"/>
      <c r="L21" s="37"/>
      <c r="M21" s="43"/>
    </row>
    <row r="22" spans="1:13">
      <c r="A22" s="37" t="s">
        <v>66</v>
      </c>
      <c r="B22" s="37" t="s">
        <v>43</v>
      </c>
      <c r="C22" s="38">
        <v>100000</v>
      </c>
      <c r="D22" s="39">
        <v>0.0001</v>
      </c>
      <c r="E22" s="37" t="s">
        <v>51</v>
      </c>
      <c r="F22" s="40">
        <f>IF(E22="","",IFERROR(VLOOKUP(E22,$L$5:$M$24,2,FALSE),""))</f>
        <v>0</v>
      </c>
      <c r="G22" s="41"/>
      <c r="H22" s="42"/>
      <c r="I22" s="21">
        <f>IF(OR(C22="",D22="",F22=""),"",C22*D22*F22)</f>
        <v>0</v>
      </c>
      <c r="J22" s="37"/>
      <c r="L22" s="37"/>
      <c r="M22" s="43"/>
    </row>
    <row r="23" spans="1:13">
      <c r="A23" s="37" t="s">
        <v>67</v>
      </c>
      <c r="B23" s="37" t="s">
        <v>43</v>
      </c>
      <c r="C23" s="38">
        <v>100000</v>
      </c>
      <c r="D23" s="39">
        <v>0.0001</v>
      </c>
      <c r="E23" s="37" t="s">
        <v>64</v>
      </c>
      <c r="F23" s="40">
        <f>IF(E23="","",IFERROR(VLOOKUP(E23,$L$5:$M$24,2,FALSE),""))</f>
        <v>0</v>
      </c>
      <c r="G23" s="41"/>
      <c r="H23" s="42"/>
      <c r="I23" s="21">
        <f>IF(OR(C23="",D23="",F23=""),"",C23*D23*F23)</f>
        <v>0</v>
      </c>
      <c r="J23" s="37"/>
      <c r="L23" s="37"/>
      <c r="M23" s="43"/>
    </row>
    <row r="24" spans="1:13">
      <c r="A24" s="37" t="s">
        <v>68</v>
      </c>
      <c r="B24" s="37" t="s">
        <v>43</v>
      </c>
      <c r="C24" s="38">
        <v>100000</v>
      </c>
      <c r="D24" s="39">
        <v>0.0001</v>
      </c>
      <c r="E24" s="37" t="s">
        <v>53</v>
      </c>
      <c r="F24" s="40">
        <f>IF(E24="","",IFERROR(VLOOKUP(E24,$L$5:$M$24,2,FALSE),""))</f>
        <v>0</v>
      </c>
      <c r="G24" s="41"/>
      <c r="H24" s="42"/>
      <c r="I24" s="21">
        <f>IF(OR(C24="",D24="",F24=""),"",C24*D24*F24)</f>
        <v>0</v>
      </c>
      <c r="J24" s="37"/>
      <c r="L24" s="37"/>
      <c r="M24" s="43"/>
    </row>
    <row r="25" spans="1:13">
      <c r="A25" s="37" t="s">
        <v>69</v>
      </c>
      <c r="B25" s="37" t="s">
        <v>43</v>
      </c>
      <c r="C25" s="38">
        <v>100000</v>
      </c>
      <c r="D25" s="39">
        <v>0.0001</v>
      </c>
      <c r="E25" s="37" t="s">
        <v>70</v>
      </c>
      <c r="F25" s="40">
        <f>IF(E25="","",IFERROR(VLOOKUP(E25,$L$5:$M$24,2,FALSE),""))</f>
        <v>0</v>
      </c>
      <c r="G25" s="41"/>
      <c r="H25" s="42"/>
      <c r="I25" s="21">
        <f>IF(OR(C25="",D25="",F25=""),"",C25*D25*F25)</f>
        <v>0</v>
      </c>
      <c r="J25" s="37"/>
    </row>
    <row r="26" spans="1:13">
      <c r="A26" s="37" t="s">
        <v>71</v>
      </c>
      <c r="B26" s="37" t="s">
        <v>43</v>
      </c>
      <c r="C26" s="38">
        <v>100000</v>
      </c>
      <c r="D26" s="39">
        <v>0.0001</v>
      </c>
      <c r="E26" s="37" t="s">
        <v>51</v>
      </c>
      <c r="F26" s="40">
        <f>IF(E26="","",IFERROR(VLOOKUP(E26,$L$5:$M$24,2,FALSE),""))</f>
        <v>0</v>
      </c>
      <c r="G26" s="41"/>
      <c r="H26" s="42"/>
      <c r="I26" s="21">
        <f>IF(OR(C26="",D26="",F26=""),"",C26*D26*F26)</f>
        <v>0</v>
      </c>
      <c r="J26" s="37"/>
      <c r="L26" s="36" t="s">
        <v>96</v>
      </c>
    </row>
    <row r="27" spans="1:13">
      <c r="A27" s="37" t="s">
        <v>72</v>
      </c>
      <c r="B27" s="37" t="s">
        <v>73</v>
      </c>
      <c r="C27" s="38">
        <v>100</v>
      </c>
      <c r="D27" s="39">
        <v>0.01</v>
      </c>
      <c r="E27" s="37" t="s">
        <v>44</v>
      </c>
      <c r="F27" s="40">
        <f>IF(E27="","",IFERROR(VLOOKUP(E27,$L$5:$M$24,2,FALSE),""))</f>
        <v>0</v>
      </c>
      <c r="G27" s="41"/>
      <c r="H27" s="42"/>
      <c r="I27" s="21">
        <f>IF(OR(C27="",D27="",F27=""),"",C27*D27*F27)</f>
        <v>0</v>
      </c>
      <c r="J27" s="37" t="s">
        <v>74</v>
      </c>
      <c r="L27" s="36" t="s">
        <v>97</v>
      </c>
    </row>
    <row r="28" spans="1:13">
      <c r="A28" s="37" t="s">
        <v>75</v>
      </c>
      <c r="B28" s="37" t="s">
        <v>73</v>
      </c>
      <c r="C28" s="38">
        <v>5000</v>
      </c>
      <c r="D28" s="39">
        <v>0.001</v>
      </c>
      <c r="E28" s="37" t="s">
        <v>44</v>
      </c>
      <c r="F28" s="40">
        <f>IF(E28="","",IFERROR(VLOOKUP(E28,$L$5:$M$24,2,FALSE),""))</f>
        <v>0</v>
      </c>
      <c r="G28" s="41"/>
      <c r="H28" s="42"/>
      <c r="I28" s="21">
        <f>IF(OR(C28="",D28="",F28=""),"",C28*D28*F28)</f>
        <v>0</v>
      </c>
      <c r="J28" s="37" t="s">
        <v>76</v>
      </c>
    </row>
    <row r="29" spans="1:13">
      <c r="A29" s="37" t="s">
        <v>77</v>
      </c>
      <c r="B29" s="37" t="s">
        <v>78</v>
      </c>
      <c r="C29" s="38">
        <v>1</v>
      </c>
      <c r="D29" s="39">
        <v>1</v>
      </c>
      <c r="E29" s="37" t="s">
        <v>44</v>
      </c>
      <c r="F29" s="40">
        <f>IF(E29="","",IFERROR(VLOOKUP(E29,$L$5:$M$24,2,FALSE),""))</f>
        <v>0</v>
      </c>
      <c r="G29" s="41">
        <v>0</v>
      </c>
      <c r="H29" s="42"/>
      <c r="I29" s="21">
        <f>IF(OR(C29="",D29="",F29=""),"",C29*D29*F29)</f>
        <v>0</v>
      </c>
      <c r="J29" s="37" t="s">
        <v>79</v>
      </c>
    </row>
    <row r="30" spans="1:13">
      <c r="A30" s="37" t="s">
        <v>80</v>
      </c>
      <c r="B30" s="37" t="s">
        <v>78</v>
      </c>
      <c r="C30" s="38">
        <v>1</v>
      </c>
      <c r="D30" s="39">
        <v>1</v>
      </c>
      <c r="E30" s="37" t="s">
        <v>44</v>
      </c>
      <c r="F30" s="40">
        <f>IF(E30="","",IFERROR(VLOOKUP(E30,$L$5:$M$24,2,FALSE),""))</f>
        <v>0</v>
      </c>
      <c r="G30" s="41">
        <v>0</v>
      </c>
      <c r="H30" s="42"/>
      <c r="I30" s="21">
        <f>IF(OR(C30="",D30="",F30=""),"",C30*D30*F30)</f>
        <v>0</v>
      </c>
      <c r="J30" s="37" t="s">
        <v>79</v>
      </c>
    </row>
    <row r="31" spans="1:13">
      <c r="A31" s="37" t="s">
        <v>81</v>
      </c>
      <c r="B31" s="37" t="s">
        <v>78</v>
      </c>
      <c r="C31" s="38">
        <v>1</v>
      </c>
      <c r="D31" s="39">
        <v>0.1</v>
      </c>
      <c r="E31" s="37" t="s">
        <v>44</v>
      </c>
      <c r="F31" s="40">
        <f>IF(E31="","",IFERROR(VLOOKUP(E31,$L$5:$M$24,2,FALSE),""))</f>
        <v>0</v>
      </c>
      <c r="G31" s="41">
        <v>0</v>
      </c>
      <c r="H31" s="42"/>
      <c r="I31" s="21">
        <f>IF(OR(C31="",D31="",F31=""),"",C31*D31*F31)</f>
        <v>0</v>
      </c>
      <c r="J31" s="37" t="s">
        <v>79</v>
      </c>
    </row>
    <row r="32" spans="1:13">
      <c r="A32" s="37" t="s">
        <v>82</v>
      </c>
      <c r="B32" s="37" t="s">
        <v>78</v>
      </c>
      <c r="C32" s="38">
        <v>1</v>
      </c>
      <c r="D32" s="39">
        <v>1</v>
      </c>
      <c r="E32" s="37" t="s">
        <v>83</v>
      </c>
      <c r="F32" s="40">
        <f>IF(E32="","",IFERROR(VLOOKUP(E32,$L$5:$M$24,2,FALSE),""))</f>
        <v>0</v>
      </c>
      <c r="G32" s="41">
        <v>0</v>
      </c>
      <c r="H32" s="42"/>
      <c r="I32" s="21">
        <f>IF(OR(C32="",D32="",F32=""),"",C32*D32*F32)</f>
        <v>0</v>
      </c>
      <c r="J32" s="37" t="s">
        <v>84</v>
      </c>
    </row>
    <row r="33" spans="1:10">
      <c r="A33" s="37" t="s">
        <v>85</v>
      </c>
      <c r="B33" s="37" t="s">
        <v>86</v>
      </c>
      <c r="C33" s="38">
        <v>1</v>
      </c>
      <c r="D33" s="39">
        <v>1</v>
      </c>
      <c r="E33" s="37" t="s">
        <v>44</v>
      </c>
      <c r="F33" s="40">
        <f>IF(E33="","",IFERROR(VLOOKUP(E33,$L$5:$M$24,2,FALSE),""))</f>
        <v>0</v>
      </c>
      <c r="G33" s="41"/>
      <c r="H33" s="42">
        <v>0.001</v>
      </c>
      <c r="I33" s="21">
        <f>IF(OR(C33="",D33="",F33=""),"",C33*D33*F33)</f>
        <v>0</v>
      </c>
      <c r="J33" s="37" t="s">
        <v>87</v>
      </c>
    </row>
    <row r="34" spans="1:10">
      <c r="A34" s="37" t="s">
        <v>88</v>
      </c>
      <c r="B34" s="37" t="s">
        <v>86</v>
      </c>
      <c r="C34" s="38">
        <v>1</v>
      </c>
      <c r="D34" s="39">
        <v>0.01</v>
      </c>
      <c r="E34" s="37" t="s">
        <v>44</v>
      </c>
      <c r="F34" s="40">
        <f>IF(E34="","",IFERROR(VLOOKUP(E34,$L$5:$M$24,2,FALSE),""))</f>
        <v>0</v>
      </c>
      <c r="G34" s="41"/>
      <c r="H34" s="42">
        <v>0.001</v>
      </c>
      <c r="I34" s="21">
        <f>IF(OR(C34="",D34="",F34=""),"",C34*D34*F34)</f>
        <v>0</v>
      </c>
      <c r="J34" s="37" t="s">
        <v>89</v>
      </c>
    </row>
    <row r="35" spans="1:10">
      <c r="A35" s="37" t="s">
        <v>90</v>
      </c>
      <c r="B35" s="37" t="s">
        <v>91</v>
      </c>
      <c r="C35" s="38">
        <v>1</v>
      </c>
      <c r="D35" s="39">
        <v>0.01</v>
      </c>
      <c r="E35" s="37" t="s">
        <v>44</v>
      </c>
      <c r="F35" s="40">
        <f>IF(E35="","",IFERROR(VLOOKUP(E35,$L$5:$M$24,2,FALSE),""))</f>
        <v>0</v>
      </c>
      <c r="G35" s="41">
        <v>0.01</v>
      </c>
      <c r="H35" s="42"/>
      <c r="I35" s="21">
        <f>IF(OR(C35="",D35="",F35=""),"",C35*D35*F35)</f>
        <v>0</v>
      </c>
      <c r="J35" s="37" t="s">
        <v>92</v>
      </c>
    </row>
    <row r="36" spans="1:10">
      <c r="A36" s="37" t="s">
        <v>93</v>
      </c>
      <c r="B36" s="37" t="s">
        <v>91</v>
      </c>
      <c r="C36" s="38">
        <v>1</v>
      </c>
      <c r="D36" s="39">
        <v>0.01</v>
      </c>
      <c r="E36" s="37" t="s">
        <v>44</v>
      </c>
      <c r="F36" s="40">
        <f>IF(E36="","",IFERROR(VLOOKUP(E36,$L$5:$M$24,2,FALSE),""))</f>
        <v>0</v>
      </c>
      <c r="G36" s="41">
        <v>0.01</v>
      </c>
      <c r="H36" s="42"/>
      <c r="I36" s="21">
        <f>IF(OR(C36="",D36="",F36=""),"",C36*D36*F36)</f>
        <v>0</v>
      </c>
      <c r="J36" s="37" t="s">
        <v>92</v>
      </c>
    </row>
    <row r="37" spans="1:10">
      <c r="A37" s="37" t="s">
        <v>94</v>
      </c>
      <c r="B37" s="37" t="s">
        <v>91</v>
      </c>
      <c r="C37" s="38">
        <v>1</v>
      </c>
      <c r="D37" s="39">
        <v>0.01</v>
      </c>
      <c r="E37" s="37" t="s">
        <v>44</v>
      </c>
      <c r="F37" s="40">
        <f>IF(E37="","",IFERROR(VLOOKUP(E37,$L$5:$M$24,2,FALSE),""))</f>
        <v>0</v>
      </c>
      <c r="G37" s="41">
        <v>0.01</v>
      </c>
      <c r="H37" s="42"/>
      <c r="I37" s="21">
        <f>IF(OR(C37="",D37="",F37=""),"",C37*D37*F37)</f>
        <v>0</v>
      </c>
      <c r="J37" s="37" t="s">
        <v>92</v>
      </c>
    </row>
    <row r="38" spans="1:10">
      <c r="A38" s="37"/>
      <c r="B38" s="37"/>
      <c r="C38" s="38"/>
      <c r="D38" s="39"/>
      <c r="E38" s="37"/>
      <c r="F38" s="40">
        <f>IF(E38="","",IFERROR(VLOOKUP(E38,$L$5:$M$24,2,FALSE),""))</f>
        <v>0</v>
      </c>
      <c r="G38" s="41"/>
      <c r="H38" s="42"/>
      <c r="I38" s="21">
        <f>IF(OR(C38="",D38="",F38=""),"",C38*D38*F38)</f>
        <v>0</v>
      </c>
      <c r="J38" s="37"/>
    </row>
    <row r="39" spans="1:10">
      <c r="A39" s="37"/>
      <c r="B39" s="37"/>
      <c r="C39" s="38"/>
      <c r="D39" s="39"/>
      <c r="E39" s="37"/>
      <c r="F39" s="40">
        <f>IF(E39="","",IFERROR(VLOOKUP(E39,$L$5:$M$24,2,FALSE),""))</f>
        <v>0</v>
      </c>
      <c r="G39" s="41"/>
      <c r="H39" s="42"/>
      <c r="I39" s="21">
        <f>IF(OR(C39="",D39="",F39=""),"",C39*D39*F39)</f>
        <v>0</v>
      </c>
      <c r="J39" s="37"/>
    </row>
    <row r="40" spans="1:10">
      <c r="A40" s="37"/>
      <c r="B40" s="37"/>
      <c r="C40" s="38"/>
      <c r="D40" s="39"/>
      <c r="E40" s="37"/>
      <c r="F40" s="40">
        <f>IF(E40="","",IFERROR(VLOOKUP(E40,$L$5:$M$24,2,FALSE),""))</f>
        <v>0</v>
      </c>
      <c r="G40" s="41"/>
      <c r="H40" s="42"/>
      <c r="I40" s="21">
        <f>IF(OR(C40="",D40="",F40=""),"",C40*D40*F40)</f>
        <v>0</v>
      </c>
      <c r="J40" s="37"/>
    </row>
    <row r="41" spans="1:10">
      <c r="A41" s="37"/>
      <c r="B41" s="37"/>
      <c r="C41" s="38"/>
      <c r="D41" s="39"/>
      <c r="E41" s="37"/>
      <c r="F41" s="40">
        <f>IF(E41="","",IFERROR(VLOOKUP(E41,$L$5:$M$24,2,FALSE),""))</f>
        <v>0</v>
      </c>
      <c r="G41" s="41"/>
      <c r="H41" s="42"/>
      <c r="I41" s="21">
        <f>IF(OR(C41="",D41="",F41=""),"",C41*D41*F41)</f>
        <v>0</v>
      </c>
      <c r="J41" s="37"/>
    </row>
    <row r="42" spans="1:10">
      <c r="A42" s="37"/>
      <c r="B42" s="37"/>
      <c r="C42" s="38"/>
      <c r="D42" s="39"/>
      <c r="E42" s="37"/>
      <c r="F42" s="40">
        <f>IF(E42="","",IFERROR(VLOOKUP(E42,$L$5:$M$24,2,FALSE),""))</f>
        <v>0</v>
      </c>
      <c r="G42" s="41"/>
      <c r="H42" s="42"/>
      <c r="I42" s="21">
        <f>IF(OR(C42="",D42="",F42=""),"",C42*D42*F42)</f>
        <v>0</v>
      </c>
      <c r="J42" s="37"/>
    </row>
    <row r="43" spans="1:10">
      <c r="A43" s="37"/>
      <c r="B43" s="37"/>
      <c r="C43" s="38"/>
      <c r="D43" s="39"/>
      <c r="E43" s="37"/>
      <c r="F43" s="40">
        <f>IF(E43="","",IFERROR(VLOOKUP(E43,$L$5:$M$24,2,FALSE),""))</f>
        <v>0</v>
      </c>
      <c r="G43" s="41"/>
      <c r="H43" s="42"/>
      <c r="I43" s="21">
        <f>IF(OR(C43="",D43="",F43=""),"",C43*D43*F43)</f>
        <v>0</v>
      </c>
      <c r="J43" s="37"/>
    </row>
    <row r="44" spans="1:10">
      <c r="A44" s="37"/>
      <c r="B44" s="37"/>
      <c r="C44" s="38"/>
      <c r="D44" s="39"/>
      <c r="E44" s="37"/>
      <c r="F44" s="40">
        <f>IF(E44="","",IFERROR(VLOOKUP(E44,$L$5:$M$24,2,FALSE),""))</f>
        <v>0</v>
      </c>
      <c r="G44" s="41"/>
      <c r="H44" s="42"/>
      <c r="I44" s="21">
        <f>IF(OR(C44="",D44="",F44=""),"",C44*D44*F44)</f>
        <v>0</v>
      </c>
      <c r="J44" s="37"/>
    </row>
    <row r="45" spans="1:10">
      <c r="A45" s="37"/>
      <c r="B45" s="37"/>
      <c r="C45" s="38"/>
      <c r="D45" s="39"/>
      <c r="E45" s="37"/>
      <c r="F45" s="40">
        <f>IF(E45="","",IFERROR(VLOOKUP(E45,$L$5:$M$24,2,FALSE),""))</f>
        <v>0</v>
      </c>
      <c r="G45" s="41"/>
      <c r="H45" s="42"/>
      <c r="I45" s="21">
        <f>IF(OR(C45="",D45="",F45=""),"",C45*D45*F45)</f>
        <v>0</v>
      </c>
      <c r="J45" s="37"/>
    </row>
    <row r="46" spans="1:10">
      <c r="A46" s="37"/>
      <c r="B46" s="37"/>
      <c r="C46" s="38"/>
      <c r="D46" s="39"/>
      <c r="E46" s="37"/>
      <c r="F46" s="40">
        <f>IF(E46="","",IFERROR(VLOOKUP(E46,$L$5:$M$24,2,FALSE),""))</f>
        <v>0</v>
      </c>
      <c r="G46" s="41"/>
      <c r="H46" s="42"/>
      <c r="I46" s="21">
        <f>IF(OR(C46="",D46="",F46=""),"",C46*D46*F46)</f>
        <v>0</v>
      </c>
      <c r="J46" s="37"/>
    </row>
    <row r="47" spans="1:10">
      <c r="A47" s="37"/>
      <c r="B47" s="37"/>
      <c r="C47" s="38"/>
      <c r="D47" s="39"/>
      <c r="E47" s="37"/>
      <c r="F47" s="40">
        <f>IF(E47="","",IFERROR(VLOOKUP(E47,$L$5:$M$24,2,FALSE),""))</f>
        <v>0</v>
      </c>
      <c r="G47" s="41"/>
      <c r="H47" s="42"/>
      <c r="I47" s="21">
        <f>IF(OR(C47="",D47="",F47=""),"",C47*D47*F47)</f>
        <v>0</v>
      </c>
      <c r="J47" s="37"/>
    </row>
    <row r="48" spans="1:10">
      <c r="A48" s="37"/>
      <c r="B48" s="37"/>
      <c r="C48" s="38"/>
      <c r="D48" s="39"/>
      <c r="E48" s="37"/>
      <c r="F48" s="40">
        <f>IF(E48="","",IFERROR(VLOOKUP(E48,$L$5:$M$24,2,FALSE),""))</f>
        <v>0</v>
      </c>
      <c r="G48" s="41"/>
      <c r="H48" s="42"/>
      <c r="I48" s="21">
        <f>IF(OR(C48="",D48="",F48=""),"",C48*D48*F48)</f>
        <v>0</v>
      </c>
      <c r="J48" s="37"/>
    </row>
    <row r="49" spans="1:10">
      <c r="A49" s="37"/>
      <c r="B49" s="37"/>
      <c r="C49" s="38"/>
      <c r="D49" s="39"/>
      <c r="E49" s="37"/>
      <c r="F49" s="40">
        <f>IF(E49="","",IFERROR(VLOOKUP(E49,$L$5:$M$24,2,FALSE),""))</f>
        <v>0</v>
      </c>
      <c r="G49" s="41"/>
      <c r="H49" s="42"/>
      <c r="I49" s="21">
        <f>IF(OR(C49="",D49="",F49=""),"",C49*D49*F49)</f>
        <v>0</v>
      </c>
      <c r="J49" s="37"/>
    </row>
    <row r="50" spans="1:10">
      <c r="A50" s="37"/>
      <c r="B50" s="37"/>
      <c r="C50" s="38"/>
      <c r="D50" s="39"/>
      <c r="E50" s="37"/>
      <c r="F50" s="40">
        <f>IF(E50="","",IFERROR(VLOOKUP(E50,$L$5:$M$24,2,FALSE),""))</f>
        <v>0</v>
      </c>
      <c r="G50" s="41"/>
      <c r="H50" s="42"/>
      <c r="I50" s="21">
        <f>IF(OR(C50="",D50="",F50=""),"",C50*D50*F50)</f>
        <v>0</v>
      </c>
      <c r="J50" s="37"/>
    </row>
    <row r="51" spans="1:10">
      <c r="A51" s="37"/>
      <c r="B51" s="37"/>
      <c r="C51" s="38"/>
      <c r="D51" s="39"/>
      <c r="E51" s="37"/>
      <c r="F51" s="40">
        <f>IF(E51="","",IFERROR(VLOOKUP(E51,$L$5:$M$24,2,FALSE),""))</f>
        <v>0</v>
      </c>
      <c r="G51" s="41"/>
      <c r="H51" s="42"/>
      <c r="I51" s="21">
        <f>IF(OR(C51="",D51="",F51=""),"",C51*D51*F51)</f>
        <v>0</v>
      </c>
      <c r="J51" s="37"/>
    </row>
    <row r="52" spans="1:10">
      <c r="A52" s="37"/>
      <c r="B52" s="37"/>
      <c r="C52" s="38"/>
      <c r="D52" s="39"/>
      <c r="E52" s="37"/>
      <c r="F52" s="40">
        <f>IF(E52="","",IFERROR(VLOOKUP(E52,$L$5:$M$24,2,FALSE),""))</f>
        <v>0</v>
      </c>
      <c r="G52" s="41"/>
      <c r="H52" s="42"/>
      <c r="I52" s="21">
        <f>IF(OR(C52="",D52="",F52=""),"",C52*D52*F52)</f>
        <v>0</v>
      </c>
      <c r="J52" s="37"/>
    </row>
    <row r="53" spans="1:10">
      <c r="A53" s="37"/>
      <c r="B53" s="37"/>
      <c r="C53" s="38"/>
      <c r="D53" s="39"/>
      <c r="E53" s="37"/>
      <c r="F53" s="40">
        <f>IF(E53="","",IFERROR(VLOOKUP(E53,$L$5:$M$24,2,FALSE),""))</f>
        <v>0</v>
      </c>
      <c r="G53" s="41"/>
      <c r="H53" s="42"/>
      <c r="I53" s="21">
        <f>IF(OR(C53="",D53="",F53=""),"",C53*D53*F53)</f>
        <v>0</v>
      </c>
      <c r="J53" s="37"/>
    </row>
    <row r="54" spans="1:10">
      <c r="A54" s="37"/>
      <c r="B54" s="37"/>
      <c r="C54" s="38"/>
      <c r="D54" s="39"/>
      <c r="E54" s="37"/>
      <c r="F54" s="40">
        <f>IF(E54="","",IFERROR(VLOOKUP(E54,$L$5:$M$24,2,FALSE),""))</f>
        <v>0</v>
      </c>
      <c r="G54" s="41"/>
      <c r="H54" s="42"/>
      <c r="I54" s="21">
        <f>IF(OR(C54="",D54="",F54=""),"",C54*D54*F54)</f>
        <v>0</v>
      </c>
      <c r="J54" s="37"/>
    </row>
    <row r="55" spans="1:10">
      <c r="A55" s="37"/>
      <c r="B55" s="37"/>
      <c r="C55" s="38"/>
      <c r="D55" s="39"/>
      <c r="E55" s="37"/>
      <c r="F55" s="40">
        <f>IF(E55="","",IFERROR(VLOOKUP(E55,$L$5:$M$24,2,FALSE),""))</f>
        <v>0</v>
      </c>
      <c r="G55" s="41"/>
      <c r="H55" s="42"/>
      <c r="I55" s="21">
        <f>IF(OR(C55="",D55="",F55=""),"",C55*D55*F55)</f>
        <v>0</v>
      </c>
      <c r="J55" s="37"/>
    </row>
    <row r="56" spans="1:10">
      <c r="A56" s="37"/>
      <c r="B56" s="37"/>
      <c r="C56" s="38"/>
      <c r="D56" s="39"/>
      <c r="E56" s="37"/>
      <c r="F56" s="40">
        <f>IF(E56="","",IFERROR(VLOOKUP(E56,$L$5:$M$24,2,FALSE),""))</f>
        <v>0</v>
      </c>
      <c r="G56" s="41"/>
      <c r="H56" s="42"/>
      <c r="I56" s="21">
        <f>IF(OR(C56="",D56="",F56=""),"",C56*D56*F56)</f>
        <v>0</v>
      </c>
      <c r="J56" s="37"/>
    </row>
    <row r="57" spans="1:10">
      <c r="A57" s="37"/>
      <c r="B57" s="37"/>
      <c r="C57" s="38"/>
      <c r="D57" s="39"/>
      <c r="E57" s="37"/>
      <c r="F57" s="40">
        <f>IF(E57="","",IFERROR(VLOOKUP(E57,$L$5:$M$24,2,FALSE),""))</f>
        <v>0</v>
      </c>
      <c r="G57" s="41"/>
      <c r="H57" s="42"/>
      <c r="I57" s="21">
        <f>IF(OR(C57="",D57="",F57=""),"",C57*D57*F57)</f>
        <v>0</v>
      </c>
      <c r="J57" s="37"/>
    </row>
    <row r="58" spans="1:10">
      <c r="A58" s="37"/>
      <c r="B58" s="37"/>
      <c r="C58" s="38"/>
      <c r="D58" s="39"/>
      <c r="E58" s="37"/>
      <c r="F58" s="40">
        <f>IF(E58="","",IFERROR(VLOOKUP(E58,$L$5:$M$24,2,FALSE),""))</f>
        <v>0</v>
      </c>
      <c r="G58" s="41"/>
      <c r="H58" s="42"/>
      <c r="I58" s="21">
        <f>IF(OR(C58="",D58="",F58=""),"",C58*D58*F58)</f>
        <v>0</v>
      </c>
      <c r="J58" s="37"/>
    </row>
    <row r="59" spans="1:10">
      <c r="A59" s="37"/>
      <c r="B59" s="37"/>
      <c r="C59" s="38"/>
      <c r="D59" s="39"/>
      <c r="E59" s="37"/>
      <c r="F59" s="40">
        <f>IF(E59="","",IFERROR(VLOOKUP(E59,$L$5:$M$24,2,FALSE),""))</f>
        <v>0</v>
      </c>
      <c r="G59" s="41"/>
      <c r="H59" s="42"/>
      <c r="I59" s="21">
        <f>IF(OR(C59="",D59="",F59=""),"",C59*D59*F59)</f>
        <v>0</v>
      </c>
      <c r="J59" s="37"/>
    </row>
    <row r="60" spans="1:10">
      <c r="A60" s="37"/>
      <c r="B60" s="37"/>
      <c r="C60" s="38"/>
      <c r="D60" s="39"/>
      <c r="E60" s="37"/>
      <c r="F60" s="40">
        <f>IF(E60="","",IFERROR(VLOOKUP(E60,$L$5:$M$24,2,FALSE),""))</f>
        <v>0</v>
      </c>
      <c r="G60" s="41"/>
      <c r="H60" s="42"/>
      <c r="I60" s="21">
        <f>IF(OR(C60="",D60="",F60=""),"",C60*D60*F60)</f>
        <v>0</v>
      </c>
      <c r="J60" s="37"/>
    </row>
    <row r="61" spans="1:10">
      <c r="A61" s="37"/>
      <c r="B61" s="37"/>
      <c r="C61" s="38"/>
      <c r="D61" s="39"/>
      <c r="E61" s="37"/>
      <c r="F61" s="40">
        <f>IF(E61="","",IFERROR(VLOOKUP(E61,$L$5:$M$24,2,FALSE),""))</f>
        <v>0</v>
      </c>
      <c r="G61" s="41"/>
      <c r="H61" s="42"/>
      <c r="I61" s="21">
        <f>IF(OR(C61="",D61="",F61=""),"",C61*D61*F61)</f>
        <v>0</v>
      </c>
      <c r="J61" s="37"/>
    </row>
    <row r="62" spans="1:10">
      <c r="A62" s="37"/>
      <c r="B62" s="37"/>
      <c r="C62" s="38"/>
      <c r="D62" s="39"/>
      <c r="E62" s="37"/>
      <c r="F62" s="40">
        <f>IF(E62="","",IFERROR(VLOOKUP(E62,$L$5:$M$24,2,FALSE),""))</f>
        <v>0</v>
      </c>
      <c r="G62" s="41"/>
      <c r="H62" s="42"/>
      <c r="I62" s="21">
        <f>IF(OR(C62="",D62="",F62=""),"",C62*D62*F62)</f>
        <v>0</v>
      </c>
      <c r="J62" s="37"/>
    </row>
    <row r="63" spans="1:10">
      <c r="A63" s="37"/>
      <c r="B63" s="37"/>
      <c r="C63" s="38"/>
      <c r="D63" s="39"/>
      <c r="E63" s="37"/>
      <c r="F63" s="40">
        <f>IF(E63="","",IFERROR(VLOOKUP(E63,$L$5:$M$24,2,FALSE),""))</f>
        <v>0</v>
      </c>
      <c r="G63" s="41"/>
      <c r="H63" s="42"/>
      <c r="I63" s="21">
        <f>IF(OR(C63="",D63="",F63=""),"",C63*D63*F63)</f>
        <v>0</v>
      </c>
      <c r="J63" s="37"/>
    </row>
    <row r="64" spans="1:10">
      <c r="A64" s="37"/>
      <c r="B64" s="37"/>
      <c r="C64" s="38"/>
      <c r="D64" s="39"/>
      <c r="E64" s="37"/>
      <c r="F64" s="40">
        <f>IF(E64="","",IFERROR(VLOOKUP(E64,$L$5:$M$24,2,FALSE),""))</f>
        <v>0</v>
      </c>
      <c r="G64" s="41"/>
      <c r="H64" s="42"/>
      <c r="I64" s="21">
        <f>IF(OR(C64="",D64="",F64=""),"",C64*D64*F64)</f>
        <v>0</v>
      </c>
      <c r="J64" s="37"/>
    </row>
    <row r="65" spans="1:10">
      <c r="A65" s="37"/>
      <c r="B65" s="37"/>
      <c r="C65" s="38"/>
      <c r="D65" s="39"/>
      <c r="E65" s="37"/>
      <c r="F65" s="40">
        <f>IF(E65="","",IFERROR(VLOOKUP(E65,$L$5:$M$24,2,FALSE),""))</f>
        <v>0</v>
      </c>
      <c r="G65" s="41"/>
      <c r="H65" s="42"/>
      <c r="I65" s="21">
        <f>IF(OR(C65="",D65="",F65=""),"",C65*D65*F65)</f>
        <v>0</v>
      </c>
      <c r="J65" s="37"/>
    </row>
    <row r="66" spans="1:10">
      <c r="A66" s="37"/>
      <c r="B66" s="37"/>
      <c r="C66" s="38"/>
      <c r="D66" s="39"/>
      <c r="E66" s="37"/>
      <c r="F66" s="40">
        <f>IF(E66="","",IFERROR(VLOOKUP(E66,$L$5:$M$24,2,FALSE),""))</f>
        <v>0</v>
      </c>
      <c r="G66" s="41"/>
      <c r="H66" s="42"/>
      <c r="I66" s="21">
        <f>IF(OR(C66="",D66="",F66=""),"",C66*D66*F66)</f>
        <v>0</v>
      </c>
      <c r="J66" s="37"/>
    </row>
    <row r="67" spans="1:10">
      <c r="A67" s="37"/>
      <c r="B67" s="37"/>
      <c r="C67" s="38"/>
      <c r="D67" s="39"/>
      <c r="E67" s="37"/>
      <c r="F67" s="40">
        <f>IF(E67="","",IFERROR(VLOOKUP(E67,$L$5:$M$24,2,FALSE),""))</f>
        <v>0</v>
      </c>
      <c r="G67" s="41"/>
      <c r="H67" s="42"/>
      <c r="I67" s="21">
        <f>IF(OR(C67="",D67="",F67=""),"",C67*D67*F67)</f>
        <v>0</v>
      </c>
      <c r="J67" s="37"/>
    </row>
    <row r="68" spans="1:10">
      <c r="A68" s="37"/>
      <c r="B68" s="37"/>
      <c r="C68" s="38"/>
      <c r="D68" s="39"/>
      <c r="E68" s="37"/>
      <c r="F68" s="40">
        <f>IF(E68="","",IFERROR(VLOOKUP(E68,$L$5:$M$24,2,FALSE),""))</f>
        <v>0</v>
      </c>
      <c r="G68" s="41"/>
      <c r="H68" s="42"/>
      <c r="I68" s="21">
        <f>IF(OR(C68="",D68="",F68=""),"",C68*D68*F68)</f>
        <v>0</v>
      </c>
      <c r="J68" s="37"/>
    </row>
    <row r="69" spans="1:10">
      <c r="A69" s="37"/>
      <c r="B69" s="37"/>
      <c r="C69" s="38"/>
      <c r="D69" s="39"/>
      <c r="E69" s="37"/>
      <c r="F69" s="40">
        <f>IF(E69="","",IFERROR(VLOOKUP(E69,$L$5:$M$24,2,FALSE),""))</f>
        <v>0</v>
      </c>
      <c r="G69" s="41"/>
      <c r="H69" s="42"/>
      <c r="I69" s="21">
        <f>IF(OR(C69="",D69="",F69=""),"",C69*D69*F69)</f>
        <v>0</v>
      </c>
      <c r="J69" s="37"/>
    </row>
    <row r="70" spans="1:10">
      <c r="A70" s="37"/>
      <c r="B70" s="37"/>
      <c r="C70" s="38"/>
      <c r="D70" s="39"/>
      <c r="E70" s="37"/>
      <c r="F70" s="40">
        <f>IF(E70="","",IFERROR(VLOOKUP(E70,$L$5:$M$24,2,FALSE),""))</f>
        <v>0</v>
      </c>
      <c r="G70" s="41"/>
      <c r="H70" s="42"/>
      <c r="I70" s="21">
        <f>IF(OR(C70="",D70="",F70=""),"",C70*D70*F70)</f>
        <v>0</v>
      </c>
      <c r="J70" s="37"/>
    </row>
    <row r="71" spans="1:10">
      <c r="A71" s="37"/>
      <c r="B71" s="37"/>
      <c r="C71" s="38"/>
      <c r="D71" s="39"/>
      <c r="E71" s="37"/>
      <c r="F71" s="40">
        <f>IF(E71="","",IFERROR(VLOOKUP(E71,$L$5:$M$24,2,FALSE),""))</f>
        <v>0</v>
      </c>
      <c r="G71" s="41"/>
      <c r="H71" s="42"/>
      <c r="I71" s="21">
        <f>IF(OR(C71="",D71="",F71=""),"",C71*D71*F71)</f>
        <v>0</v>
      </c>
      <c r="J71" s="37"/>
    </row>
    <row r="72" spans="1:10">
      <c r="A72" s="37"/>
      <c r="B72" s="37"/>
      <c r="C72" s="38"/>
      <c r="D72" s="39"/>
      <c r="E72" s="37"/>
      <c r="F72" s="40">
        <f>IF(E72="","",IFERROR(VLOOKUP(E72,$L$5:$M$24,2,FALSE),""))</f>
        <v>0</v>
      </c>
      <c r="G72" s="41"/>
      <c r="H72" s="42"/>
      <c r="I72" s="21">
        <f>IF(OR(C72="",D72="",F72=""),"",C72*D72*F72)</f>
        <v>0</v>
      </c>
      <c r="J72" s="37"/>
    </row>
    <row r="73" spans="1:10">
      <c r="A73" s="37"/>
      <c r="B73" s="37"/>
      <c r="C73" s="38"/>
      <c r="D73" s="39"/>
      <c r="E73" s="37"/>
      <c r="F73" s="40">
        <f>IF(E73="","",IFERROR(VLOOKUP(E73,$L$5:$M$24,2,FALSE),""))</f>
        <v>0</v>
      </c>
      <c r="G73" s="41"/>
      <c r="H73" s="42"/>
      <c r="I73" s="21">
        <f>IF(OR(C73="",D73="",F73=""),"",C73*D73*F73)</f>
        <v>0</v>
      </c>
      <c r="J73" s="37"/>
    </row>
    <row r="74" spans="1:10">
      <c r="A74" s="37"/>
      <c r="B74" s="37"/>
      <c r="C74" s="38"/>
      <c r="D74" s="39"/>
      <c r="E74" s="37"/>
      <c r="F74" s="40">
        <f>IF(E74="","",IFERROR(VLOOKUP(E74,$L$5:$M$24,2,FALSE),""))</f>
        <v>0</v>
      </c>
      <c r="G74" s="41"/>
      <c r="H74" s="42"/>
      <c r="I74" s="21">
        <f>IF(OR(C74="",D74="",F74=""),"",C74*D74*F74)</f>
        <v>0</v>
      </c>
      <c r="J74" s="37"/>
    </row>
    <row r="75" spans="1:10">
      <c r="A75" s="37"/>
      <c r="B75" s="37"/>
      <c r="C75" s="38"/>
      <c r="D75" s="39"/>
      <c r="E75" s="37"/>
      <c r="F75" s="40">
        <f>IF(E75="","",IFERROR(VLOOKUP(E75,$L$5:$M$24,2,FALSE),""))</f>
        <v>0</v>
      </c>
      <c r="G75" s="41"/>
      <c r="H75" s="42"/>
      <c r="I75" s="21">
        <f>IF(OR(C75="",D75="",F75=""),"",C75*D75*F75)</f>
        <v>0</v>
      </c>
      <c r="J75" s="37"/>
    </row>
    <row r="76" spans="1:10">
      <c r="A76" s="37"/>
      <c r="B76" s="37"/>
      <c r="C76" s="38"/>
      <c r="D76" s="39"/>
      <c r="E76" s="37"/>
      <c r="F76" s="40">
        <f>IF(E76="","",IFERROR(VLOOKUP(E76,$L$5:$M$24,2,FALSE),""))</f>
        <v>0</v>
      </c>
      <c r="G76" s="41"/>
      <c r="H76" s="42"/>
      <c r="I76" s="21">
        <f>IF(OR(C76="",D76="",F76=""),"",C76*D76*F76)</f>
        <v>0</v>
      </c>
      <c r="J76" s="37"/>
    </row>
    <row r="77" spans="1:10">
      <c r="A77" s="37"/>
      <c r="B77" s="37"/>
      <c r="C77" s="38"/>
      <c r="D77" s="39"/>
      <c r="E77" s="37"/>
      <c r="F77" s="40">
        <f>IF(E77="","",IFERROR(VLOOKUP(E77,$L$5:$M$24,2,FALSE),""))</f>
        <v>0</v>
      </c>
      <c r="G77" s="41"/>
      <c r="H77" s="42"/>
      <c r="I77" s="21">
        <f>IF(OR(C77="",D77="",F77=""),"",C77*D77*F77)</f>
        <v>0</v>
      </c>
      <c r="J77" s="37"/>
    </row>
    <row r="78" spans="1:10">
      <c r="A78" s="37"/>
      <c r="B78" s="37"/>
      <c r="C78" s="38"/>
      <c r="D78" s="39"/>
      <c r="E78" s="37"/>
      <c r="F78" s="40">
        <f>IF(E78="","",IFERROR(VLOOKUP(E78,$L$5:$M$24,2,FALSE),""))</f>
        <v>0</v>
      </c>
      <c r="G78" s="41"/>
      <c r="H78" s="42"/>
      <c r="I78" s="21">
        <f>IF(OR(C78="",D78="",F78=""),"",C78*D78*F78)</f>
        <v>0</v>
      </c>
      <c r="J78" s="37"/>
    </row>
    <row r="79" spans="1:10">
      <c r="A79" s="37"/>
      <c r="B79" s="37"/>
      <c r="C79" s="38"/>
      <c r="D79" s="39"/>
      <c r="E79" s="37"/>
      <c r="F79" s="40">
        <f>IF(E79="","",IFERROR(VLOOKUP(E79,$L$5:$M$24,2,FALSE),""))</f>
        <v>0</v>
      </c>
      <c r="G79" s="41"/>
      <c r="H79" s="42"/>
      <c r="I79" s="21">
        <f>IF(OR(C79="",D79="",F79=""),"",C79*D79*F79)</f>
        <v>0</v>
      </c>
      <c r="J79" s="37"/>
    </row>
    <row r="80" spans="1:10">
      <c r="A80" s="37"/>
      <c r="B80" s="37"/>
      <c r="C80" s="38"/>
      <c r="D80" s="39"/>
      <c r="E80" s="37"/>
      <c r="F80" s="40">
        <f>IF(E80="","",IFERROR(VLOOKUP(E80,$L$5:$M$24,2,FALSE),""))</f>
        <v>0</v>
      </c>
      <c r="G80" s="41"/>
      <c r="H80" s="42"/>
      <c r="I80" s="21">
        <f>IF(OR(C80="",D80="",F80=""),"",C80*D80*F80)</f>
        <v>0</v>
      </c>
      <c r="J80" s="37"/>
    </row>
    <row r="81" spans="1:10">
      <c r="A81" s="37"/>
      <c r="B81" s="37"/>
      <c r="C81" s="38"/>
      <c r="D81" s="39"/>
      <c r="E81" s="37"/>
      <c r="F81" s="40">
        <f>IF(E81="","",IFERROR(VLOOKUP(E81,$L$5:$M$24,2,FALSE),""))</f>
        <v>0</v>
      </c>
      <c r="G81" s="41"/>
      <c r="H81" s="42"/>
      <c r="I81" s="21">
        <f>IF(OR(C81="",D81="",F81=""),"",C81*D81*F81)</f>
        <v>0</v>
      </c>
      <c r="J81" s="37"/>
    </row>
    <row r="82" spans="1:10">
      <c r="A82" s="37"/>
      <c r="B82" s="37"/>
      <c r="C82" s="38"/>
      <c r="D82" s="39"/>
      <c r="E82" s="37"/>
      <c r="F82" s="40">
        <f>IF(E82="","",IFERROR(VLOOKUP(E82,$L$5:$M$24,2,FALSE),""))</f>
        <v>0</v>
      </c>
      <c r="G82" s="41"/>
      <c r="H82" s="42"/>
      <c r="I82" s="21">
        <f>IF(OR(C82="",D82="",F82=""),"",C82*D82*F82)</f>
        <v>0</v>
      </c>
      <c r="J82" s="37"/>
    </row>
    <row r="83" spans="1:10">
      <c r="A83" s="37"/>
      <c r="B83" s="37"/>
      <c r="C83" s="38"/>
      <c r="D83" s="39"/>
      <c r="E83" s="37"/>
      <c r="F83" s="40">
        <f>IF(E83="","",IFERROR(VLOOKUP(E83,$L$5:$M$24,2,FALSE),""))</f>
        <v>0</v>
      </c>
      <c r="G83" s="41"/>
      <c r="H83" s="42"/>
      <c r="I83" s="21">
        <f>IF(OR(C83="",D83="",F83=""),"",C83*D83*F83)</f>
        <v>0</v>
      </c>
      <c r="J83" s="37"/>
    </row>
    <row r="84" spans="1:10">
      <c r="A84" s="37"/>
      <c r="B84" s="37"/>
      <c r="C84" s="38"/>
      <c r="D84" s="39"/>
      <c r="E84" s="37"/>
      <c r="F84" s="40">
        <f>IF(E84="","",IFERROR(VLOOKUP(E84,$L$5:$M$24,2,FALSE),""))</f>
        <v>0</v>
      </c>
      <c r="G84" s="41"/>
      <c r="H84" s="42"/>
      <c r="I84" s="21">
        <f>IF(OR(C84="",D84="",F84=""),"",C84*D84*F84)</f>
        <v>0</v>
      </c>
      <c r="J84" s="37"/>
    </row>
    <row r="85" spans="1:10">
      <c r="A85" s="37"/>
      <c r="B85" s="37"/>
      <c r="C85" s="38"/>
      <c r="D85" s="39"/>
      <c r="E85" s="37"/>
      <c r="F85" s="40">
        <f>IF(E85="","",IFERROR(VLOOKUP(E85,$L$5:$M$24,2,FALSE),""))</f>
        <v>0</v>
      </c>
      <c r="G85" s="41"/>
      <c r="H85" s="42"/>
      <c r="I85" s="21">
        <f>IF(OR(C85="",D85="",F85=""),"",C85*D85*F85)</f>
        <v>0</v>
      </c>
      <c r="J85" s="37"/>
    </row>
    <row r="86" spans="1:10">
      <c r="A86" s="37"/>
      <c r="B86" s="37"/>
      <c r="C86" s="38"/>
      <c r="D86" s="39"/>
      <c r="E86" s="37"/>
      <c r="F86" s="40">
        <f>IF(E86="","",IFERROR(VLOOKUP(E86,$L$5:$M$24,2,FALSE),""))</f>
        <v>0</v>
      </c>
      <c r="G86" s="41"/>
      <c r="H86" s="42"/>
      <c r="I86" s="21">
        <f>IF(OR(C86="",D86="",F86=""),"",C86*D86*F86)</f>
        <v>0</v>
      </c>
      <c r="J86" s="37"/>
    </row>
    <row r="87" spans="1:10">
      <c r="A87" s="37"/>
      <c r="B87" s="37"/>
      <c r="C87" s="38"/>
      <c r="D87" s="39"/>
      <c r="E87" s="37"/>
      <c r="F87" s="40">
        <f>IF(E87="","",IFERROR(VLOOKUP(E87,$L$5:$M$24,2,FALSE),""))</f>
        <v>0</v>
      </c>
      <c r="G87" s="41"/>
      <c r="H87" s="42"/>
      <c r="I87" s="21">
        <f>IF(OR(C87="",D87="",F87=""),"",C87*D87*F87)</f>
        <v>0</v>
      </c>
      <c r="J87" s="37"/>
    </row>
    <row r="88" spans="1:10">
      <c r="A88" s="37"/>
      <c r="B88" s="37"/>
      <c r="C88" s="38"/>
      <c r="D88" s="39"/>
      <c r="E88" s="37"/>
      <c r="F88" s="40">
        <f>IF(E88="","",IFERROR(VLOOKUP(E88,$L$5:$M$24,2,FALSE),""))</f>
        <v>0</v>
      </c>
      <c r="G88" s="41"/>
      <c r="H88" s="42"/>
      <c r="I88" s="21">
        <f>IF(OR(C88="",D88="",F88=""),"",C88*D88*F88)</f>
        <v>0</v>
      </c>
      <c r="J88" s="37"/>
    </row>
    <row r="89" spans="1:10">
      <c r="A89" s="37"/>
      <c r="B89" s="37"/>
      <c r="C89" s="38"/>
      <c r="D89" s="39"/>
      <c r="E89" s="37"/>
      <c r="F89" s="40">
        <f>IF(E89="","",IFERROR(VLOOKUP(E89,$L$5:$M$24,2,FALSE),""))</f>
        <v>0</v>
      </c>
      <c r="G89" s="41"/>
      <c r="H89" s="42"/>
      <c r="I89" s="21">
        <f>IF(OR(C89="",D89="",F89=""),"",C89*D89*F89)</f>
        <v>0</v>
      </c>
      <c r="J89" s="37"/>
    </row>
    <row r="90" spans="1:10">
      <c r="A90" s="37"/>
      <c r="B90" s="37"/>
      <c r="C90" s="38"/>
      <c r="D90" s="39"/>
      <c r="E90" s="37"/>
      <c r="F90" s="40">
        <f>IF(E90="","",IFERROR(VLOOKUP(E90,$L$5:$M$24,2,FALSE),""))</f>
        <v>0</v>
      </c>
      <c r="G90" s="41"/>
      <c r="H90" s="42"/>
      <c r="I90" s="21">
        <f>IF(OR(C90="",D90="",F90=""),"",C90*D90*F90)</f>
        <v>0</v>
      </c>
      <c r="J90" s="37"/>
    </row>
    <row r="91" spans="1:10">
      <c r="A91" s="37"/>
      <c r="B91" s="37"/>
      <c r="C91" s="38"/>
      <c r="D91" s="39"/>
      <c r="E91" s="37"/>
      <c r="F91" s="40">
        <f>IF(E91="","",IFERROR(VLOOKUP(E91,$L$5:$M$24,2,FALSE),""))</f>
        <v>0</v>
      </c>
      <c r="G91" s="41"/>
      <c r="H91" s="42"/>
      <c r="I91" s="21">
        <f>IF(OR(C91="",D91="",F91=""),"",C91*D91*F91)</f>
        <v>0</v>
      </c>
      <c r="J91" s="37"/>
    </row>
    <row r="92" spans="1:10">
      <c r="A92" s="37"/>
      <c r="B92" s="37"/>
      <c r="C92" s="38"/>
      <c r="D92" s="39"/>
      <c r="E92" s="37"/>
      <c r="F92" s="40">
        <f>IF(E92="","",IFERROR(VLOOKUP(E92,$L$5:$M$24,2,FALSE),""))</f>
        <v>0</v>
      </c>
      <c r="G92" s="41"/>
      <c r="H92" s="42"/>
      <c r="I92" s="21">
        <f>IF(OR(C92="",D92="",F92=""),"",C92*D92*F92)</f>
        <v>0</v>
      </c>
      <c r="J92" s="37"/>
    </row>
    <row r="93" spans="1:10">
      <c r="A93" s="37"/>
      <c r="B93" s="37"/>
      <c r="C93" s="38"/>
      <c r="D93" s="39"/>
      <c r="E93" s="37"/>
      <c r="F93" s="40">
        <f>IF(E93="","",IFERROR(VLOOKUP(E93,$L$5:$M$24,2,FALSE),""))</f>
        <v>0</v>
      </c>
      <c r="G93" s="41"/>
      <c r="H93" s="42"/>
      <c r="I93" s="21">
        <f>IF(OR(C93="",D93="",F93=""),"",C93*D93*F93)</f>
        <v>0</v>
      </c>
      <c r="J93" s="37"/>
    </row>
    <row r="94" spans="1:10">
      <c r="A94" s="37"/>
      <c r="B94" s="37"/>
      <c r="C94" s="38"/>
      <c r="D94" s="39"/>
      <c r="E94" s="37"/>
      <c r="F94" s="40">
        <f>IF(E94="","",IFERROR(VLOOKUP(E94,$L$5:$M$24,2,FALSE),""))</f>
        <v>0</v>
      </c>
      <c r="G94" s="41"/>
      <c r="H94" s="42"/>
      <c r="I94" s="21">
        <f>IF(OR(C94="",D94="",F94=""),"",C94*D94*F94)</f>
        <v>0</v>
      </c>
      <c r="J94" s="37"/>
    </row>
    <row r="95" spans="1:10">
      <c r="A95" s="37"/>
      <c r="B95" s="37"/>
      <c r="C95" s="38"/>
      <c r="D95" s="39"/>
      <c r="E95" s="37"/>
      <c r="F95" s="40">
        <f>IF(E95="","",IFERROR(VLOOKUP(E95,$L$5:$M$24,2,FALSE),""))</f>
        <v>0</v>
      </c>
      <c r="G95" s="41"/>
      <c r="H95" s="42"/>
      <c r="I95" s="21">
        <f>IF(OR(C95="",D95="",F95=""),"",C95*D95*F95)</f>
        <v>0</v>
      </c>
      <c r="J95" s="37"/>
    </row>
    <row r="96" spans="1:10">
      <c r="A96" s="37"/>
      <c r="B96" s="37"/>
      <c r="C96" s="38"/>
      <c r="D96" s="39"/>
      <c r="E96" s="37"/>
      <c r="F96" s="40">
        <f>IF(E96="","",IFERROR(VLOOKUP(E96,$L$5:$M$24,2,FALSE),""))</f>
        <v>0</v>
      </c>
      <c r="G96" s="41"/>
      <c r="H96" s="42"/>
      <c r="I96" s="21">
        <f>IF(OR(C96="",D96="",F96=""),"",C96*D96*F96)</f>
        <v>0</v>
      </c>
      <c r="J96" s="37"/>
    </row>
    <row r="97" spans="1:10">
      <c r="A97" s="37"/>
      <c r="B97" s="37"/>
      <c r="C97" s="38"/>
      <c r="D97" s="39"/>
      <c r="E97" s="37"/>
      <c r="F97" s="40">
        <f>IF(E97="","",IFERROR(VLOOKUP(E97,$L$5:$M$24,2,FALSE),""))</f>
        <v>0</v>
      </c>
      <c r="G97" s="41"/>
      <c r="H97" s="42"/>
      <c r="I97" s="21">
        <f>IF(OR(C97="",D97="",F97=""),"",C97*D97*F97)</f>
        <v>0</v>
      </c>
      <c r="J97" s="37"/>
    </row>
    <row r="98" spans="1:10">
      <c r="A98" s="37"/>
      <c r="B98" s="37"/>
      <c r="C98" s="38"/>
      <c r="D98" s="39"/>
      <c r="E98" s="37"/>
      <c r="F98" s="40">
        <f>IF(E98="","",IFERROR(VLOOKUP(E98,$L$5:$M$24,2,FALSE),""))</f>
        <v>0</v>
      </c>
      <c r="G98" s="41"/>
      <c r="H98" s="42"/>
      <c r="I98" s="21">
        <f>IF(OR(C98="",D98="",F98=""),"",C98*D98*F98)</f>
        <v>0</v>
      </c>
      <c r="J98" s="37"/>
    </row>
    <row r="99" spans="1:10">
      <c r="A99" s="37"/>
      <c r="B99" s="37"/>
      <c r="C99" s="38"/>
      <c r="D99" s="39"/>
      <c r="E99" s="37"/>
      <c r="F99" s="40">
        <f>IF(E99="","",IFERROR(VLOOKUP(E99,$L$5:$M$24,2,FALSE),""))</f>
        <v>0</v>
      </c>
      <c r="G99" s="41"/>
      <c r="H99" s="42"/>
      <c r="I99" s="21">
        <f>IF(OR(C99="",D99="",F99=""),"",C99*D99*F99)</f>
        <v>0</v>
      </c>
      <c r="J99" s="37"/>
    </row>
    <row r="100" spans="1:10">
      <c r="A100" s="37"/>
      <c r="B100" s="37"/>
      <c r="C100" s="38"/>
      <c r="D100" s="39"/>
      <c r="E100" s="37"/>
      <c r="F100" s="40">
        <f>IF(E100="","",IFERROR(VLOOKUP(E100,$L$5:$M$24,2,FALSE),""))</f>
        <v>0</v>
      </c>
      <c r="G100" s="41"/>
      <c r="H100" s="42"/>
      <c r="I100" s="21">
        <f>IF(OR(C100="",D100="",F100=""),"",C100*D100*F100)</f>
        <v>0</v>
      </c>
      <c r="J100" s="37"/>
    </row>
    <row r="101" spans="1:10">
      <c r="A101" s="37"/>
      <c r="B101" s="37"/>
      <c r="C101" s="38"/>
      <c r="D101" s="39"/>
      <c r="E101" s="37"/>
      <c r="F101" s="40">
        <f>IF(E101="","",IFERROR(VLOOKUP(E101,$L$5:$M$24,2,FALSE),""))</f>
        <v>0</v>
      </c>
      <c r="G101" s="41"/>
      <c r="H101" s="42"/>
      <c r="I101" s="21">
        <f>IF(OR(C101="",D101="",F101=""),"",C101*D101*F101)</f>
        <v>0</v>
      </c>
      <c r="J101" s="37"/>
    </row>
    <row r="102" spans="1:10">
      <c r="A102" s="37"/>
      <c r="B102" s="37"/>
      <c r="C102" s="38"/>
      <c r="D102" s="39"/>
      <c r="E102" s="37"/>
      <c r="F102" s="40">
        <f>IF(E102="","",IFERROR(VLOOKUP(E102,$L$5:$M$24,2,FALSE),""))</f>
        <v>0</v>
      </c>
      <c r="G102" s="41"/>
      <c r="H102" s="42"/>
      <c r="I102" s="21">
        <f>IF(OR(C102="",D102="",F102=""),"",C102*D102*F102)</f>
        <v>0</v>
      </c>
      <c r="J102" s="37"/>
    </row>
    <row r="103" spans="1:10">
      <c r="A103" s="37"/>
      <c r="B103" s="37"/>
      <c r="C103" s="38"/>
      <c r="D103" s="39"/>
      <c r="E103" s="37"/>
      <c r="F103" s="40">
        <f>IF(E103="","",IFERROR(VLOOKUP(E103,$L$5:$M$24,2,FALSE),""))</f>
        <v>0</v>
      </c>
      <c r="G103" s="41"/>
      <c r="H103" s="42"/>
      <c r="I103" s="21">
        <f>IF(OR(C103="",D103="",F103=""),"",C103*D103*F103)</f>
        <v>0</v>
      </c>
      <c r="J103" s="37"/>
    </row>
    <row r="104" spans="1:10">
      <c r="A104" s="37"/>
      <c r="B104" s="37"/>
      <c r="C104" s="38"/>
      <c r="D104" s="39"/>
      <c r="E104" s="37"/>
      <c r="F104" s="40">
        <f>IF(E104="","",IFERROR(VLOOKUP(E104,$L$5:$M$24,2,FALSE),""))</f>
        <v>0</v>
      </c>
      <c r="G104" s="41"/>
      <c r="H104" s="42"/>
      <c r="I104" s="21">
        <f>IF(OR(C104="",D104="",F104=""),"",C104*D104*F104)</f>
        <v>0</v>
      </c>
      <c r="J104" s="37"/>
    </row>
    <row r="105" spans="1:10">
      <c r="A105" s="37"/>
      <c r="B105" s="37"/>
      <c r="C105" s="38"/>
      <c r="D105" s="39"/>
      <c r="E105" s="37"/>
      <c r="F105" s="40">
        <f>IF(E105="","",IFERROR(VLOOKUP(E105,$L$5:$M$24,2,FALSE),""))</f>
        <v>0</v>
      </c>
      <c r="G105" s="41"/>
      <c r="H105" s="42"/>
      <c r="I105" s="21">
        <f>IF(OR(C105="",D105="",F105=""),"",C105*D105*F105)</f>
        <v>0</v>
      </c>
      <c r="J105" s="37"/>
    </row>
    <row r="106" spans="1:10">
      <c r="A106" s="37"/>
      <c r="B106" s="37"/>
      <c r="C106" s="38"/>
      <c r="D106" s="39"/>
      <c r="E106" s="37"/>
      <c r="F106" s="40">
        <f>IF(E106="","",IFERROR(VLOOKUP(E106,$L$5:$M$24,2,FALSE),""))</f>
        <v>0</v>
      </c>
      <c r="G106" s="41"/>
      <c r="H106" s="42"/>
      <c r="I106" s="21">
        <f>IF(OR(C106="",D106="",F106=""),"",C106*D106*F106)</f>
        <v>0</v>
      </c>
      <c r="J106" s="37"/>
    </row>
    <row r="107" spans="1:10">
      <c r="A107" s="37"/>
      <c r="B107" s="37"/>
      <c r="C107" s="38"/>
      <c r="D107" s="39"/>
      <c r="E107" s="37"/>
      <c r="F107" s="40">
        <f>IF(E107="","",IFERROR(VLOOKUP(E107,$L$5:$M$24,2,FALSE),""))</f>
        <v>0</v>
      </c>
      <c r="G107" s="41"/>
      <c r="H107" s="42"/>
      <c r="I107" s="21">
        <f>IF(OR(C107="",D107="",F107=""),"",C107*D107*F107)</f>
        <v>0</v>
      </c>
      <c r="J107" s="37"/>
    </row>
    <row r="108" spans="1:10">
      <c r="A108" s="37"/>
      <c r="B108" s="37"/>
      <c r="C108" s="38"/>
      <c r="D108" s="39"/>
      <c r="E108" s="37"/>
      <c r="F108" s="40">
        <f>IF(E108="","",IFERROR(VLOOKUP(E108,$L$5:$M$24,2,FALSE),""))</f>
        <v>0</v>
      </c>
      <c r="G108" s="41"/>
      <c r="H108" s="42"/>
      <c r="I108" s="21">
        <f>IF(OR(C108="",D108="",F108=""),"",C108*D108*F108)</f>
        <v>0</v>
      </c>
      <c r="J108" s="37"/>
    </row>
    <row r="109" spans="1:10">
      <c r="A109" s="37"/>
      <c r="B109" s="37"/>
      <c r="C109" s="38"/>
      <c r="D109" s="39"/>
      <c r="E109" s="37"/>
      <c r="F109" s="40">
        <f>IF(E109="","",IFERROR(VLOOKUP(E109,$L$5:$M$24,2,FALSE),""))</f>
        <v>0</v>
      </c>
      <c r="G109" s="41"/>
      <c r="H109" s="42"/>
      <c r="I109" s="21">
        <f>IF(OR(C109="",D109="",F109=""),"",C109*D109*F109)</f>
        <v>0</v>
      </c>
      <c r="J109" s="37"/>
    </row>
    <row r="110" spans="1:10">
      <c r="A110" s="37"/>
      <c r="B110" s="37"/>
      <c r="C110" s="38"/>
      <c r="D110" s="39"/>
      <c r="E110" s="37"/>
      <c r="F110" s="40">
        <f>IF(E110="","",IFERROR(VLOOKUP(E110,$L$5:$M$24,2,FALSE),""))</f>
        <v>0</v>
      </c>
      <c r="G110" s="41"/>
      <c r="H110" s="42"/>
      <c r="I110" s="21">
        <f>IF(OR(C110="",D110="",F110=""),"",C110*D110*F110)</f>
        <v>0</v>
      </c>
      <c r="J110" s="37"/>
    </row>
    <row r="111" spans="1:10">
      <c r="A111" s="37"/>
      <c r="B111" s="37"/>
      <c r="C111" s="38"/>
      <c r="D111" s="39"/>
      <c r="E111" s="37"/>
      <c r="F111" s="40">
        <f>IF(E111="","",IFERROR(VLOOKUP(E111,$L$5:$M$24,2,FALSE),""))</f>
        <v>0</v>
      </c>
      <c r="G111" s="41"/>
      <c r="H111" s="42"/>
      <c r="I111" s="21">
        <f>IF(OR(C111="",D111="",F111=""),"",C111*D111*F111)</f>
        <v>0</v>
      </c>
      <c r="J111" s="37"/>
    </row>
    <row r="112" spans="1:10">
      <c r="A112" s="37"/>
      <c r="B112" s="37"/>
      <c r="C112" s="38"/>
      <c r="D112" s="39"/>
      <c r="E112" s="37"/>
      <c r="F112" s="40">
        <f>IF(E112="","",IFERROR(VLOOKUP(E112,$L$5:$M$24,2,FALSE),""))</f>
        <v>0</v>
      </c>
      <c r="G112" s="41"/>
      <c r="H112" s="42"/>
      <c r="I112" s="21">
        <f>IF(OR(C112="",D112="",F112=""),"",C112*D112*F112)</f>
        <v>0</v>
      </c>
      <c r="J112" s="37"/>
    </row>
    <row r="113" spans="1:10">
      <c r="A113" s="37"/>
      <c r="B113" s="37"/>
      <c r="C113" s="38"/>
      <c r="D113" s="39"/>
      <c r="E113" s="37"/>
      <c r="F113" s="40">
        <f>IF(E113="","",IFERROR(VLOOKUP(E113,$L$5:$M$24,2,FALSE),""))</f>
        <v>0</v>
      </c>
      <c r="G113" s="41"/>
      <c r="H113" s="42"/>
      <c r="I113" s="21">
        <f>IF(OR(C113="",D113="",F113=""),"",C113*D113*F113)</f>
        <v>0</v>
      </c>
      <c r="J113" s="37"/>
    </row>
    <row r="114" spans="1:10">
      <c r="A114" s="37"/>
      <c r="B114" s="37"/>
      <c r="C114" s="38"/>
      <c r="D114" s="39"/>
      <c r="E114" s="37"/>
      <c r="F114" s="40">
        <f>IF(E114="","",IFERROR(VLOOKUP(E114,$L$5:$M$24,2,FALSE),""))</f>
        <v>0</v>
      </c>
      <c r="G114" s="41"/>
      <c r="H114" s="42"/>
      <c r="I114" s="21">
        <f>IF(OR(C114="",D114="",F114=""),"",C114*D114*F114)</f>
        <v>0</v>
      </c>
      <c r="J114" s="37"/>
    </row>
    <row r="115" spans="1:10">
      <c r="A115" s="37"/>
      <c r="B115" s="37"/>
      <c r="C115" s="38"/>
      <c r="D115" s="39"/>
      <c r="E115" s="37"/>
      <c r="F115" s="40">
        <f>IF(E115="","",IFERROR(VLOOKUP(E115,$L$5:$M$24,2,FALSE),""))</f>
        <v>0</v>
      </c>
      <c r="G115" s="41"/>
      <c r="H115" s="42"/>
      <c r="I115" s="21">
        <f>IF(OR(C115="",D115="",F115=""),"",C115*D115*F115)</f>
        <v>0</v>
      </c>
      <c r="J115" s="37"/>
    </row>
    <row r="116" spans="1:10">
      <c r="A116" s="37"/>
      <c r="B116" s="37"/>
      <c r="C116" s="38"/>
      <c r="D116" s="39"/>
      <c r="E116" s="37"/>
      <c r="F116" s="40">
        <f>IF(E116="","",IFERROR(VLOOKUP(E116,$L$5:$M$24,2,FALSE),""))</f>
        <v>0</v>
      </c>
      <c r="G116" s="41"/>
      <c r="H116" s="42"/>
      <c r="I116" s="21">
        <f>IF(OR(C116="",D116="",F116=""),"",C116*D116*F116)</f>
        <v>0</v>
      </c>
      <c r="J116" s="37"/>
    </row>
    <row r="117" spans="1:10">
      <c r="A117" s="37"/>
      <c r="B117" s="37"/>
      <c r="C117" s="38"/>
      <c r="D117" s="39"/>
      <c r="E117" s="37"/>
      <c r="F117" s="40">
        <f>IF(E117="","",IFERROR(VLOOKUP(E117,$L$5:$M$24,2,FALSE),""))</f>
        <v>0</v>
      </c>
      <c r="G117" s="41"/>
      <c r="H117" s="42"/>
      <c r="I117" s="21">
        <f>IF(OR(C117="",D117="",F117=""),"",C117*D117*F117)</f>
        <v>0</v>
      </c>
      <c r="J117" s="37"/>
    </row>
    <row r="118" spans="1:10">
      <c r="A118" s="37"/>
      <c r="B118" s="37"/>
      <c r="C118" s="38"/>
      <c r="D118" s="39"/>
      <c r="E118" s="37"/>
      <c r="F118" s="40">
        <f>IF(E118="","",IFERROR(VLOOKUP(E118,$L$5:$M$24,2,FALSE),""))</f>
        <v>0</v>
      </c>
      <c r="G118" s="41"/>
      <c r="H118" s="42"/>
      <c r="I118" s="21">
        <f>IF(OR(C118="",D118="",F118=""),"",C118*D118*F118)</f>
        <v>0</v>
      </c>
      <c r="J118" s="37"/>
    </row>
    <row r="119" spans="1:10">
      <c r="A119" s="37"/>
      <c r="B119" s="37"/>
      <c r="C119" s="38"/>
      <c r="D119" s="39"/>
      <c r="E119" s="37"/>
      <c r="F119" s="40">
        <f>IF(E119="","",IFERROR(VLOOKUP(E119,$L$5:$M$24,2,FALSE),""))</f>
        <v>0</v>
      </c>
      <c r="G119" s="41"/>
      <c r="H119" s="42"/>
      <c r="I119" s="21">
        <f>IF(OR(C119="",D119="",F119=""),"",C119*D119*F119)</f>
        <v>0</v>
      </c>
      <c r="J119" s="37"/>
    </row>
    <row r="120" spans="1:10">
      <c r="A120" s="37"/>
      <c r="B120" s="37"/>
      <c r="C120" s="38"/>
      <c r="D120" s="39"/>
      <c r="E120" s="37"/>
      <c r="F120" s="40">
        <f>IF(E120="","",IFERROR(VLOOKUP(E120,$L$5:$M$24,2,FALSE),""))</f>
        <v>0</v>
      </c>
      <c r="G120" s="41"/>
      <c r="H120" s="42"/>
      <c r="I120" s="21">
        <f>IF(OR(C120="",D120="",F120=""),"",C120*D120*F120)</f>
        <v>0</v>
      </c>
      <c r="J120" s="37"/>
    </row>
    <row r="121" spans="1:10">
      <c r="A121" s="37"/>
      <c r="B121" s="37"/>
      <c r="C121" s="38"/>
      <c r="D121" s="39"/>
      <c r="E121" s="37"/>
      <c r="F121" s="40">
        <f>IF(E121="","",IFERROR(VLOOKUP(E121,$L$5:$M$24,2,FALSE),""))</f>
        <v>0</v>
      </c>
      <c r="G121" s="41"/>
      <c r="H121" s="42"/>
      <c r="I121" s="21">
        <f>IF(OR(C121="",D121="",F121=""),"",C121*D121*F121)</f>
        <v>0</v>
      </c>
      <c r="J121" s="37"/>
    </row>
    <row r="122" spans="1:10">
      <c r="A122" s="37"/>
      <c r="B122" s="37"/>
      <c r="C122" s="38"/>
      <c r="D122" s="39"/>
      <c r="E122" s="37"/>
      <c r="F122" s="40">
        <f>IF(E122="","",IFERROR(VLOOKUP(E122,$L$5:$M$24,2,FALSE),""))</f>
        <v>0</v>
      </c>
      <c r="G122" s="41"/>
      <c r="H122" s="42"/>
      <c r="I122" s="21">
        <f>IF(OR(C122="",D122="",F122=""),"",C122*D122*F122)</f>
        <v>0</v>
      </c>
      <c r="J122" s="37"/>
    </row>
    <row r="123" spans="1:10">
      <c r="A123" s="37"/>
      <c r="B123" s="37"/>
      <c r="C123" s="38"/>
      <c r="D123" s="39"/>
      <c r="E123" s="37"/>
      <c r="F123" s="40">
        <f>IF(E123="","",IFERROR(VLOOKUP(E123,$L$5:$M$24,2,FALSE),""))</f>
        <v>0</v>
      </c>
      <c r="G123" s="41"/>
      <c r="H123" s="42"/>
      <c r="I123" s="21">
        <f>IF(OR(C123="",D123="",F123=""),"",C123*D123*F123)</f>
        <v>0</v>
      </c>
      <c r="J123" s="37"/>
    </row>
    <row r="124" spans="1:10">
      <c r="A124" s="37"/>
      <c r="B124" s="37"/>
      <c r="C124" s="38"/>
      <c r="D124" s="39"/>
      <c r="E124" s="37"/>
      <c r="F124" s="40">
        <f>IF(E124="","",IFERROR(VLOOKUP(E124,$L$5:$M$24,2,FALSE),""))</f>
        <v>0</v>
      </c>
      <c r="G124" s="41"/>
      <c r="H124" s="42"/>
      <c r="I124" s="21">
        <f>IF(OR(C124="",D124="",F124=""),"",C124*D124*F124)</f>
        <v>0</v>
      </c>
      <c r="J124" s="37"/>
    </row>
    <row r="125" spans="1:10">
      <c r="A125" s="37"/>
      <c r="B125" s="37"/>
      <c r="C125" s="38"/>
      <c r="D125" s="39"/>
      <c r="E125" s="37"/>
      <c r="F125" s="40">
        <f>IF(E125="","",IFERROR(VLOOKUP(E125,$L$5:$M$24,2,FALSE),""))</f>
        <v>0</v>
      </c>
      <c r="G125" s="41"/>
      <c r="H125" s="42"/>
      <c r="I125" s="21">
        <f>IF(OR(C125="",D125="",F125=""),"",C125*D125*F125)</f>
        <v>0</v>
      </c>
      <c r="J125" s="37"/>
    </row>
    <row r="126" spans="1:10">
      <c r="A126" s="37"/>
      <c r="B126" s="37"/>
      <c r="C126" s="38"/>
      <c r="D126" s="39"/>
      <c r="E126" s="37"/>
      <c r="F126" s="40">
        <f>IF(E126="","",IFERROR(VLOOKUP(E126,$L$5:$M$24,2,FALSE),""))</f>
        <v>0</v>
      </c>
      <c r="G126" s="41"/>
      <c r="H126" s="42"/>
      <c r="I126" s="21">
        <f>IF(OR(C126="",D126="",F126=""),"",C126*D126*F126)</f>
        <v>0</v>
      </c>
      <c r="J126" s="37"/>
    </row>
    <row r="127" spans="1:10">
      <c r="A127" s="37"/>
      <c r="B127" s="37"/>
      <c r="C127" s="38"/>
      <c r="D127" s="39"/>
      <c r="E127" s="37"/>
      <c r="F127" s="40">
        <f>IF(E127="","",IFERROR(VLOOKUP(E127,$L$5:$M$24,2,FALSE),""))</f>
        <v>0</v>
      </c>
      <c r="G127" s="41"/>
      <c r="H127" s="42"/>
      <c r="I127" s="21">
        <f>IF(OR(C127="",D127="",F127=""),"",C127*D127*F127)</f>
        <v>0</v>
      </c>
      <c r="J127" s="37"/>
    </row>
    <row r="128" spans="1:10">
      <c r="A128" s="37"/>
      <c r="B128" s="37"/>
      <c r="C128" s="38"/>
      <c r="D128" s="39"/>
      <c r="E128" s="37"/>
      <c r="F128" s="40">
        <f>IF(E128="","",IFERROR(VLOOKUP(E128,$L$5:$M$24,2,FALSE),""))</f>
        <v>0</v>
      </c>
      <c r="G128" s="41"/>
      <c r="H128" s="42"/>
      <c r="I128" s="21">
        <f>IF(OR(C128="",D128="",F128=""),"",C128*D128*F128)</f>
        <v>0</v>
      </c>
      <c r="J128" s="37"/>
    </row>
    <row r="129" spans="1:10">
      <c r="A129" s="37"/>
      <c r="B129" s="37"/>
      <c r="C129" s="38"/>
      <c r="D129" s="39"/>
      <c r="E129" s="37"/>
      <c r="F129" s="40">
        <f>IF(E129="","",IFERROR(VLOOKUP(E129,$L$5:$M$24,2,FALSE),""))</f>
        <v>0</v>
      </c>
      <c r="G129" s="41"/>
      <c r="H129" s="42"/>
      <c r="I129" s="21">
        <f>IF(OR(C129="",D129="",F129=""),"",C129*D129*F129)</f>
        <v>0</v>
      </c>
      <c r="J129" s="37"/>
    </row>
    <row r="130" spans="1:10">
      <c r="A130" s="37"/>
      <c r="B130" s="37"/>
      <c r="C130" s="38"/>
      <c r="D130" s="39"/>
      <c r="E130" s="37"/>
      <c r="F130" s="40">
        <f>IF(E130="","",IFERROR(VLOOKUP(E130,$L$5:$M$24,2,FALSE),""))</f>
        <v>0</v>
      </c>
      <c r="G130" s="41"/>
      <c r="H130" s="42"/>
      <c r="I130" s="21">
        <f>IF(OR(C130="",D130="",F130=""),"",C130*D130*F130)</f>
        <v>0</v>
      </c>
      <c r="J130" s="37"/>
    </row>
    <row r="131" spans="1:10">
      <c r="A131" s="37"/>
      <c r="B131" s="37"/>
      <c r="C131" s="38"/>
      <c r="D131" s="39"/>
      <c r="E131" s="37"/>
      <c r="F131" s="40">
        <f>IF(E131="","",IFERROR(VLOOKUP(E131,$L$5:$M$24,2,FALSE),""))</f>
        <v>0</v>
      </c>
      <c r="G131" s="41"/>
      <c r="H131" s="42"/>
      <c r="I131" s="21">
        <f>IF(OR(C131="",D131="",F131=""),"",C131*D131*F131)</f>
        <v>0</v>
      </c>
      <c r="J131" s="37"/>
    </row>
    <row r="132" spans="1:10">
      <c r="A132" s="37"/>
      <c r="B132" s="37"/>
      <c r="C132" s="38"/>
      <c r="D132" s="39"/>
      <c r="E132" s="37"/>
      <c r="F132" s="40">
        <f>IF(E132="","",IFERROR(VLOOKUP(E132,$L$5:$M$24,2,FALSE),""))</f>
        <v>0</v>
      </c>
      <c r="G132" s="41"/>
      <c r="H132" s="42"/>
      <c r="I132" s="21">
        <f>IF(OR(C132="",D132="",F132=""),"",C132*D132*F132)</f>
        <v>0</v>
      </c>
      <c r="J132" s="37"/>
    </row>
    <row r="133" spans="1:10">
      <c r="A133" s="37"/>
      <c r="B133" s="37"/>
      <c r="C133" s="38"/>
      <c r="D133" s="39"/>
      <c r="E133" s="37"/>
      <c r="F133" s="40">
        <f>IF(E133="","",IFERROR(VLOOKUP(E133,$L$5:$M$24,2,FALSE),""))</f>
        <v>0</v>
      </c>
      <c r="G133" s="41"/>
      <c r="H133" s="42"/>
      <c r="I133" s="21">
        <f>IF(OR(C133="",D133="",F133=""),"",C133*D133*F133)</f>
        <v>0</v>
      </c>
      <c r="J133" s="37"/>
    </row>
    <row r="134" spans="1:10">
      <c r="A134" s="37"/>
      <c r="B134" s="37"/>
      <c r="C134" s="38"/>
      <c r="D134" s="39"/>
      <c r="E134" s="37"/>
      <c r="F134" s="40">
        <f>IF(E134="","",IFERROR(VLOOKUP(E134,$L$5:$M$24,2,FALSE),""))</f>
        <v>0</v>
      </c>
      <c r="G134" s="41"/>
      <c r="H134" s="42"/>
      <c r="I134" s="21">
        <f>IF(OR(C134="",D134="",F134=""),"",C134*D134*F134)</f>
        <v>0</v>
      </c>
      <c r="J134" s="37"/>
    </row>
    <row r="135" spans="1:10">
      <c r="A135" s="37"/>
      <c r="B135" s="37"/>
      <c r="C135" s="38"/>
      <c r="D135" s="39"/>
      <c r="E135" s="37"/>
      <c r="F135" s="40">
        <f>IF(E135="","",IFERROR(VLOOKUP(E135,$L$5:$M$24,2,FALSE),""))</f>
        <v>0</v>
      </c>
      <c r="G135" s="41"/>
      <c r="H135" s="42"/>
      <c r="I135" s="21">
        <f>IF(OR(C135="",D135="",F135=""),"",C135*D135*F135)</f>
        <v>0</v>
      </c>
      <c r="J135" s="37"/>
    </row>
    <row r="136" spans="1:10">
      <c r="A136" s="37"/>
      <c r="B136" s="37"/>
      <c r="C136" s="38"/>
      <c r="D136" s="39"/>
      <c r="E136" s="37"/>
      <c r="F136" s="40">
        <f>IF(E136="","",IFERROR(VLOOKUP(E136,$L$5:$M$24,2,FALSE),""))</f>
        <v>0</v>
      </c>
      <c r="G136" s="41"/>
      <c r="H136" s="42"/>
      <c r="I136" s="21">
        <f>IF(OR(C136="",D136="",F136=""),"",C136*D136*F136)</f>
        <v>0</v>
      </c>
      <c r="J136" s="37"/>
    </row>
    <row r="137" spans="1:10">
      <c r="A137" s="37"/>
      <c r="B137" s="37"/>
      <c r="C137" s="38"/>
      <c r="D137" s="39"/>
      <c r="E137" s="37"/>
      <c r="F137" s="40">
        <f>IF(E137="","",IFERROR(VLOOKUP(E137,$L$5:$M$24,2,FALSE),""))</f>
        <v>0</v>
      </c>
      <c r="G137" s="41"/>
      <c r="H137" s="42"/>
      <c r="I137" s="21">
        <f>IF(OR(C137="",D137="",F137=""),"",C137*D137*F137)</f>
        <v>0</v>
      </c>
      <c r="J137" s="37"/>
    </row>
    <row r="138" spans="1:10">
      <c r="A138" s="37"/>
      <c r="B138" s="37"/>
      <c r="C138" s="38"/>
      <c r="D138" s="39"/>
      <c r="E138" s="37"/>
      <c r="F138" s="40">
        <f>IF(E138="","",IFERROR(VLOOKUP(E138,$L$5:$M$24,2,FALSE),""))</f>
        <v>0</v>
      </c>
      <c r="G138" s="41"/>
      <c r="H138" s="42"/>
      <c r="I138" s="21">
        <f>IF(OR(C138="",D138="",F138=""),"",C138*D138*F138)</f>
        <v>0</v>
      </c>
      <c r="J138" s="37"/>
    </row>
    <row r="139" spans="1:10">
      <c r="A139" s="37"/>
      <c r="B139" s="37"/>
      <c r="C139" s="38"/>
      <c r="D139" s="39"/>
      <c r="E139" s="37"/>
      <c r="F139" s="40">
        <f>IF(E139="","",IFERROR(VLOOKUP(E139,$L$5:$M$24,2,FALSE),""))</f>
        <v>0</v>
      </c>
      <c r="G139" s="41"/>
      <c r="H139" s="42"/>
      <c r="I139" s="21">
        <f>IF(OR(C139="",D139="",F139=""),"",C139*D139*F139)</f>
        <v>0</v>
      </c>
      <c r="J139" s="37"/>
    </row>
    <row r="140" spans="1:10">
      <c r="A140" s="37"/>
      <c r="B140" s="37"/>
      <c r="C140" s="38"/>
      <c r="D140" s="39"/>
      <c r="E140" s="37"/>
      <c r="F140" s="40">
        <f>IF(E140="","",IFERROR(VLOOKUP(E140,$L$5:$M$24,2,FALSE),""))</f>
        <v>0</v>
      </c>
      <c r="G140" s="41"/>
      <c r="H140" s="42"/>
      <c r="I140" s="21">
        <f>IF(OR(C140="",D140="",F140=""),"",C140*D140*F140)</f>
        <v>0</v>
      </c>
      <c r="J140" s="37"/>
    </row>
    <row r="141" spans="1:10">
      <c r="A141" s="37"/>
      <c r="B141" s="37"/>
      <c r="C141" s="38"/>
      <c r="D141" s="39"/>
      <c r="E141" s="37"/>
      <c r="F141" s="40">
        <f>IF(E141="","",IFERROR(VLOOKUP(E141,$L$5:$M$24,2,FALSE),""))</f>
        <v>0</v>
      </c>
      <c r="G141" s="41"/>
      <c r="H141" s="42"/>
      <c r="I141" s="21">
        <f>IF(OR(C141="",D141="",F141=""),"",C141*D141*F141)</f>
        <v>0</v>
      </c>
      <c r="J141" s="37"/>
    </row>
    <row r="142" spans="1:10">
      <c r="A142" s="37"/>
      <c r="B142" s="37"/>
      <c r="C142" s="38"/>
      <c r="D142" s="39"/>
      <c r="E142" s="37"/>
      <c r="F142" s="40">
        <f>IF(E142="","",IFERROR(VLOOKUP(E142,$L$5:$M$24,2,FALSE),""))</f>
        <v>0</v>
      </c>
      <c r="G142" s="41"/>
      <c r="H142" s="42"/>
      <c r="I142" s="21">
        <f>IF(OR(C142="",D142="",F142=""),"",C142*D142*F142)</f>
        <v>0</v>
      </c>
      <c r="J142" s="37"/>
    </row>
    <row r="143" spans="1:10">
      <c r="A143" s="37"/>
      <c r="B143" s="37"/>
      <c r="C143" s="38"/>
      <c r="D143" s="39"/>
      <c r="E143" s="37"/>
      <c r="F143" s="40">
        <f>IF(E143="","",IFERROR(VLOOKUP(E143,$L$5:$M$24,2,FALSE),""))</f>
        <v>0</v>
      </c>
      <c r="G143" s="41"/>
      <c r="H143" s="42"/>
      <c r="I143" s="21">
        <f>IF(OR(C143="",D143="",F143=""),"",C143*D143*F143)</f>
        <v>0</v>
      </c>
      <c r="J143" s="37"/>
    </row>
    <row r="144" spans="1:10">
      <c r="A144" s="37"/>
      <c r="B144" s="37"/>
      <c r="C144" s="38"/>
      <c r="D144" s="39"/>
      <c r="E144" s="37"/>
      <c r="F144" s="40">
        <f>IF(E144="","",IFERROR(VLOOKUP(E144,$L$5:$M$24,2,FALSE),""))</f>
        <v>0</v>
      </c>
      <c r="G144" s="41"/>
      <c r="H144" s="42"/>
      <c r="I144" s="21">
        <f>IF(OR(C144="",D144="",F144=""),"",C144*D144*F144)</f>
        <v>0</v>
      </c>
      <c r="J144" s="37"/>
    </row>
    <row r="145" spans="1:10">
      <c r="A145" s="37"/>
      <c r="B145" s="37"/>
      <c r="C145" s="38"/>
      <c r="D145" s="39"/>
      <c r="E145" s="37"/>
      <c r="F145" s="40">
        <f>IF(E145="","",IFERROR(VLOOKUP(E145,$L$5:$M$24,2,FALSE),""))</f>
        <v>0</v>
      </c>
      <c r="G145" s="41"/>
      <c r="H145" s="42"/>
      <c r="I145" s="21">
        <f>IF(OR(C145="",D145="",F145=""),"",C145*D145*F145)</f>
        <v>0</v>
      </c>
      <c r="J145" s="37"/>
    </row>
    <row r="146" spans="1:10">
      <c r="A146" s="37"/>
      <c r="B146" s="37"/>
      <c r="C146" s="38"/>
      <c r="D146" s="39"/>
      <c r="E146" s="37"/>
      <c r="F146" s="40">
        <f>IF(E146="","",IFERROR(VLOOKUP(E146,$L$5:$M$24,2,FALSE),""))</f>
        <v>0</v>
      </c>
      <c r="G146" s="41"/>
      <c r="H146" s="42"/>
      <c r="I146" s="21">
        <f>IF(OR(C146="",D146="",F146=""),"",C146*D146*F146)</f>
        <v>0</v>
      </c>
      <c r="J146" s="37"/>
    </row>
    <row r="147" spans="1:10">
      <c r="A147" s="37"/>
      <c r="B147" s="37"/>
      <c r="C147" s="38"/>
      <c r="D147" s="39"/>
      <c r="E147" s="37"/>
      <c r="F147" s="40">
        <f>IF(E147="","",IFERROR(VLOOKUP(E147,$L$5:$M$24,2,FALSE),""))</f>
        <v>0</v>
      </c>
      <c r="G147" s="41"/>
      <c r="H147" s="42"/>
      <c r="I147" s="21">
        <f>IF(OR(C147="",D147="",F147=""),"",C147*D147*F147)</f>
        <v>0</v>
      </c>
      <c r="J147" s="37"/>
    </row>
    <row r="148" spans="1:10">
      <c r="A148" s="37"/>
      <c r="B148" s="37"/>
      <c r="C148" s="38"/>
      <c r="D148" s="39"/>
      <c r="E148" s="37"/>
      <c r="F148" s="40">
        <f>IF(E148="","",IFERROR(VLOOKUP(E148,$L$5:$M$24,2,FALSE),""))</f>
        <v>0</v>
      </c>
      <c r="G148" s="41"/>
      <c r="H148" s="42"/>
      <c r="I148" s="21">
        <f>IF(OR(C148="",D148="",F148=""),"",C148*D148*F148)</f>
        <v>0</v>
      </c>
      <c r="J148" s="37"/>
    </row>
    <row r="149" spans="1:10">
      <c r="A149" s="37"/>
      <c r="B149" s="37"/>
      <c r="C149" s="38"/>
      <c r="D149" s="39"/>
      <c r="E149" s="37"/>
      <c r="F149" s="40">
        <f>IF(E149="","",IFERROR(VLOOKUP(E149,$L$5:$M$24,2,FALSE),""))</f>
        <v>0</v>
      </c>
      <c r="G149" s="41"/>
      <c r="H149" s="42"/>
      <c r="I149" s="21">
        <f>IF(OR(C149="",D149="",F149=""),"",C149*D149*F149)</f>
        <v>0</v>
      </c>
      <c r="J149" s="37"/>
    </row>
    <row r="150" spans="1:10">
      <c r="A150" s="37"/>
      <c r="B150" s="37"/>
      <c r="C150" s="38"/>
      <c r="D150" s="39"/>
      <c r="E150" s="37"/>
      <c r="F150" s="40">
        <f>IF(E150="","",IFERROR(VLOOKUP(E150,$L$5:$M$24,2,FALSE),""))</f>
        <v>0</v>
      </c>
      <c r="G150" s="41"/>
      <c r="H150" s="42"/>
      <c r="I150" s="21">
        <f>IF(OR(C150="",D150="",F150=""),"",C150*D150*F150)</f>
        <v>0</v>
      </c>
      <c r="J150" s="37"/>
    </row>
    <row r="151" spans="1:10">
      <c r="A151" s="37"/>
      <c r="B151" s="37"/>
      <c r="C151" s="38"/>
      <c r="D151" s="39"/>
      <c r="E151" s="37"/>
      <c r="F151" s="40">
        <f>IF(E151="","",IFERROR(VLOOKUP(E151,$L$5:$M$24,2,FALSE),""))</f>
        <v>0</v>
      </c>
      <c r="G151" s="41"/>
      <c r="H151" s="42"/>
      <c r="I151" s="21">
        <f>IF(OR(C151="",D151="",F151=""),"",C151*D151*F151)</f>
        <v>0</v>
      </c>
      <c r="J151" s="37"/>
    </row>
    <row r="152" spans="1:10">
      <c r="A152" s="37"/>
      <c r="B152" s="37"/>
      <c r="C152" s="38"/>
      <c r="D152" s="39"/>
      <c r="E152" s="37"/>
      <c r="F152" s="40">
        <f>IF(E152="","",IFERROR(VLOOKUP(E152,$L$5:$M$24,2,FALSE),""))</f>
        <v>0</v>
      </c>
      <c r="G152" s="41"/>
      <c r="H152" s="42"/>
      <c r="I152" s="21">
        <f>IF(OR(C152="",D152="",F152=""),"",C152*D152*F152)</f>
        <v>0</v>
      </c>
      <c r="J152" s="37"/>
    </row>
    <row r="153" spans="1:10">
      <c r="A153" s="37"/>
      <c r="B153" s="37"/>
      <c r="C153" s="38"/>
      <c r="D153" s="39"/>
      <c r="E153" s="37"/>
      <c r="F153" s="40">
        <f>IF(E153="","",IFERROR(VLOOKUP(E153,$L$5:$M$24,2,FALSE),""))</f>
        <v>0</v>
      </c>
      <c r="G153" s="41"/>
      <c r="H153" s="42"/>
      <c r="I153" s="21">
        <f>IF(OR(C153="",D153="",F153=""),"",C153*D153*F153)</f>
        <v>0</v>
      </c>
      <c r="J153" s="37"/>
    </row>
    <row r="154" spans="1:10">
      <c r="A154" s="37"/>
      <c r="B154" s="37"/>
      <c r="C154" s="38"/>
      <c r="D154" s="39"/>
      <c r="E154" s="37"/>
      <c r="F154" s="40">
        <f>IF(E154="","",IFERROR(VLOOKUP(E154,$L$5:$M$24,2,FALSE),""))</f>
        <v>0</v>
      </c>
      <c r="G154" s="41"/>
      <c r="H154" s="42"/>
      <c r="I154" s="21">
        <f>IF(OR(C154="",D154="",F154=""),"",C154*D154*F154)</f>
        <v>0</v>
      </c>
      <c r="J154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R17"/>
  <sheetViews>
    <sheetView showGridLines="0" workbookViewId="0"/>
  </sheetViews>
  <sheetFormatPr defaultRowHeight="15"/>
  <cols>
    <col min="1" max="1" width="14.7109375" style="1" customWidth="1"/>
    <col min="2" max="5" width="11.7109375" style="1" customWidth="1"/>
    <col min="6" max="18" width="15.7109375" style="1" customWidth="1"/>
  </cols>
  <sheetData>
    <row r="1" spans="1:17">
      <c r="A1" s="27" t="s">
        <v>0</v>
      </c>
    </row>
    <row r="2" spans="1:17">
      <c r="A2" s="36" t="s">
        <v>1</v>
      </c>
    </row>
    <row r="4" spans="1:17">
      <c r="A4" s="28" t="s">
        <v>2</v>
      </c>
      <c r="B4" s="28" t="s">
        <v>3</v>
      </c>
      <c r="C4" s="28" t="s">
        <v>4</v>
      </c>
      <c r="D4" s="28" t="s">
        <v>5</v>
      </c>
      <c r="E4" s="28" t="s">
        <v>6</v>
      </c>
      <c r="G4" s="28" t="s">
        <v>10</v>
      </c>
      <c r="I4" s="28" t="s">
        <v>17</v>
      </c>
      <c r="K4" s="28" t="s">
        <v>18</v>
      </c>
      <c r="M4" s="28" t="s">
        <v>19</v>
      </c>
      <c r="O4" s="28" t="s">
        <v>22</v>
      </c>
      <c r="Q4" s="28" t="s">
        <v>25</v>
      </c>
    </row>
    <row r="5" spans="1:17">
      <c r="A5" s="15" t="s">
        <v>7</v>
      </c>
      <c r="B5" s="14">
        <v>0.875</v>
      </c>
      <c r="C5" s="14">
        <v>0.2916666666666667</v>
      </c>
      <c r="D5" s="11">
        <f>IF(OR(A5="",NOT(ISNUMBER(B5)),NOT(ISNUMBER(C5))),"",ROUND(MOD(B5,1)*1440,0))</f>
        <v>0</v>
      </c>
      <c r="E5" s="11">
        <f>IF(OR(A5="",NOT(ISNUMBER(B5)),NOT(ISNUMBER(C5))),"",ROUND(MOD(C5,1)*1440,0))</f>
        <v>0</v>
      </c>
      <c r="G5" s="44" t="s">
        <v>11</v>
      </c>
      <c r="I5" s="17">
        <v>0.0025</v>
      </c>
      <c r="K5" s="45">
        <v>0.01</v>
      </c>
      <c r="M5" s="44" t="s">
        <v>20</v>
      </c>
      <c r="O5" s="44" t="s">
        <v>23</v>
      </c>
      <c r="Q5" s="44" t="s">
        <v>26</v>
      </c>
    </row>
    <row r="6" spans="1:17">
      <c r="A6" s="15" t="s">
        <v>8</v>
      </c>
      <c r="B6" s="14">
        <v>0.2916666666666667</v>
      </c>
      <c r="C6" s="14">
        <v>0.5416666666666666</v>
      </c>
      <c r="D6" s="11">
        <f>IF(OR(A6="",NOT(ISNUMBER(B6)),NOT(ISNUMBER(C6))),"",ROUND(MOD(B6,1)*1440,0))</f>
        <v>0</v>
      </c>
      <c r="E6" s="11">
        <f>IF(OR(A6="",NOT(ISNUMBER(B6)),NOT(ISNUMBER(C6))),"",ROUND(MOD(C6,1)*1440,0))</f>
        <v>0</v>
      </c>
      <c r="G6" s="44" t="s">
        <v>12</v>
      </c>
      <c r="I6" s="17">
        <v>0.005</v>
      </c>
      <c r="K6" s="45">
        <v>0.02</v>
      </c>
      <c r="M6" s="44" t="s">
        <v>21</v>
      </c>
      <c r="O6" s="44" t="s">
        <v>24</v>
      </c>
      <c r="Q6" s="44" t="s">
        <v>27</v>
      </c>
    </row>
    <row r="7" spans="1:17">
      <c r="A7" s="15" t="s">
        <v>9</v>
      </c>
      <c r="B7" s="14">
        <v>0.5416666666666666</v>
      </c>
      <c r="C7" s="14">
        <v>0.875</v>
      </c>
      <c r="D7" s="11">
        <f>IF(OR(A7="",NOT(ISNUMBER(B7)),NOT(ISNUMBER(C7))),"",ROUND(MOD(B7,1)*1440,0))</f>
        <v>0</v>
      </c>
      <c r="E7" s="11">
        <f>IF(OR(A7="",NOT(ISNUMBER(B7)),NOT(ISNUMBER(C7))),"",ROUND(MOD(C7,1)*1440,0))</f>
        <v>0</v>
      </c>
      <c r="G7" s="44" t="s">
        <v>13</v>
      </c>
      <c r="I7" s="17">
        <v>0.0075</v>
      </c>
      <c r="K7" s="45">
        <v>0.05</v>
      </c>
    </row>
    <row r="8" spans="1:17">
      <c r="A8" s="15"/>
      <c r="B8" s="14"/>
      <c r="C8" s="14"/>
      <c r="D8" s="11">
        <f>IF(OR(A8="",NOT(ISNUMBER(B8)),NOT(ISNUMBER(C8))),"",ROUND(MOD(B8,1)*1440,0))</f>
        <v>0</v>
      </c>
      <c r="E8" s="11">
        <f>IF(OR(A8="",NOT(ISNUMBER(B8)),NOT(ISNUMBER(C8))),"",ROUND(MOD(C8,1)*1440,0))</f>
        <v>0</v>
      </c>
      <c r="G8" s="44" t="s">
        <v>14</v>
      </c>
      <c r="I8" s="17">
        <v>0.01</v>
      </c>
      <c r="K8" s="45">
        <v>0.1</v>
      </c>
    </row>
    <row r="9" spans="1:17">
      <c r="A9" s="15"/>
      <c r="B9" s="14"/>
      <c r="C9" s="14"/>
      <c r="D9" s="11">
        <f>IF(OR(A9="",NOT(ISNUMBER(B9)),NOT(ISNUMBER(C9))),"",ROUND(MOD(B9,1)*1440,0))</f>
        <v>0</v>
      </c>
      <c r="E9" s="11">
        <f>IF(OR(A9="",NOT(ISNUMBER(B9)),NOT(ISNUMBER(C9))),"",ROUND(MOD(C9,1)*1440,0))</f>
        <v>0</v>
      </c>
      <c r="G9" s="44" t="s">
        <v>15</v>
      </c>
      <c r="I9" s="17">
        <v>0.015</v>
      </c>
      <c r="K9" s="45">
        <v>0.2</v>
      </c>
    </row>
    <row r="10" spans="1:17">
      <c r="A10" s="15"/>
      <c r="B10" s="14"/>
      <c r="C10" s="14"/>
      <c r="D10" s="11">
        <f>IF(OR(A10="",NOT(ISNUMBER(B10)),NOT(ISNUMBER(C10))),"",ROUND(MOD(B10,1)*1440,0))</f>
        <v>0</v>
      </c>
      <c r="E10" s="11">
        <f>IF(OR(A10="",NOT(ISNUMBER(B10)),NOT(ISNUMBER(C10))),"",ROUND(MOD(C10,1)*1440,0))</f>
        <v>0</v>
      </c>
      <c r="G10" s="44" t="s">
        <v>16</v>
      </c>
      <c r="I10" s="17">
        <v>0.02</v>
      </c>
      <c r="K10" s="45">
        <v>0.25</v>
      </c>
    </row>
    <row r="11" spans="1:17">
      <c r="I11" s="17">
        <v>0.025</v>
      </c>
      <c r="K11" s="45">
        <v>0.5</v>
      </c>
    </row>
    <row r="12" spans="1:17">
      <c r="I12" s="17">
        <v>0.03</v>
      </c>
      <c r="K12" s="45">
        <v>1</v>
      </c>
    </row>
    <row r="13" spans="1:17">
      <c r="G13" s="36" t="s">
        <v>28</v>
      </c>
      <c r="I13" s="17">
        <v>0.04</v>
      </c>
      <c r="K13" s="45">
        <v>2</v>
      </c>
    </row>
    <row r="14" spans="1:17">
      <c r="I14" s="17">
        <v>0.05</v>
      </c>
      <c r="K14" s="45">
        <v>5</v>
      </c>
    </row>
    <row r="15" spans="1:17">
      <c r="I15" s="17">
        <v>0.1</v>
      </c>
      <c r="K15" s="45">
        <v>10</v>
      </c>
    </row>
    <row r="17" spans="9:9">
      <c r="I17" s="36" t="s">
        <v>29</v>
      </c>
    </row>
  </sheetData>
  <sheetProtection sheet="1" objects="1" scenarios="1"/>
  <dataValidations count="1">
    <dataValidation type="time" allowBlank="1" showInputMessage="1" showErrorMessage="1" errorTitle="Time" error="Enter a time, e.g. 07:00" sqref="B5:C10">
      <formula1>0</formula1>
      <formula2>0.999988425925926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BD160"/>
  <sheetViews>
    <sheetView workbookViewId="0"/>
  </sheetViews>
  <sheetFormatPr defaultRowHeight="15"/>
  <cols>
    <col min="1" max="56" width="12.7109375" customWidth="1"/>
  </cols>
  <sheetData>
    <row r="1" spans="1:56">
      <c r="A1" t="s">
        <v>174</v>
      </c>
    </row>
    <row r="10" spans="1:56">
      <c r="A10" t="s">
        <v>130</v>
      </c>
      <c r="B10" t="s">
        <v>131</v>
      </c>
      <c r="C10" t="s">
        <v>132</v>
      </c>
      <c r="D10" t="s">
        <v>133</v>
      </c>
      <c r="E10" t="s">
        <v>134</v>
      </c>
      <c r="F10" t="s">
        <v>135</v>
      </c>
      <c r="G10" t="s">
        <v>136</v>
      </c>
      <c r="H10" t="s">
        <v>137</v>
      </c>
      <c r="I10" t="s">
        <v>138</v>
      </c>
      <c r="J10" t="s">
        <v>139</v>
      </c>
      <c r="K10" t="s">
        <v>140</v>
      </c>
      <c r="L10" t="s">
        <v>141</v>
      </c>
      <c r="M10" t="s">
        <v>142</v>
      </c>
      <c r="N10" t="s">
        <v>143</v>
      </c>
      <c r="O10" t="s">
        <v>144</v>
      </c>
      <c r="P10" t="s">
        <v>145</v>
      </c>
      <c r="Q10" t="s">
        <v>146</v>
      </c>
      <c r="R10" t="s">
        <v>147</v>
      </c>
      <c r="S10" t="s">
        <v>148</v>
      </c>
      <c r="T10" t="s">
        <v>149</v>
      </c>
      <c r="U10" t="s">
        <v>150</v>
      </c>
      <c r="V10" t="s">
        <v>151</v>
      </c>
      <c r="W10" t="s">
        <v>152</v>
      </c>
      <c r="X10" t="s">
        <v>153</v>
      </c>
      <c r="Y10" t="s">
        <v>154</v>
      </c>
      <c r="Z10" t="s">
        <v>155</v>
      </c>
      <c r="AA10" t="s">
        <v>156</v>
      </c>
      <c r="AB10" t="s">
        <v>157</v>
      </c>
      <c r="AC10" t="s">
        <v>158</v>
      </c>
      <c r="AD10" t="s">
        <v>159</v>
      </c>
      <c r="AE10" t="s">
        <v>160</v>
      </c>
      <c r="AF10" t="s">
        <v>161</v>
      </c>
      <c r="AH10" t="s">
        <v>162</v>
      </c>
      <c r="AI10" t="s">
        <v>163</v>
      </c>
      <c r="AJ10" t="s">
        <v>164</v>
      </c>
      <c r="AK10" t="s">
        <v>165</v>
      </c>
      <c r="AM10" t="s">
        <v>166</v>
      </c>
      <c r="AN10" t="s">
        <v>167</v>
      </c>
      <c r="AO10" t="s">
        <v>151</v>
      </c>
      <c r="AP10" t="s">
        <v>168</v>
      </c>
      <c r="AQ10" t="s">
        <v>169</v>
      </c>
      <c r="AR10" t="s">
        <v>170</v>
      </c>
      <c r="AS10" t="s">
        <v>171</v>
      </c>
      <c r="AU10" t="s">
        <v>155</v>
      </c>
      <c r="AV10" t="s">
        <v>167</v>
      </c>
      <c r="AW10" t="s">
        <v>151</v>
      </c>
      <c r="AY10" t="s">
        <v>172</v>
      </c>
      <c r="AZ10" t="s">
        <v>173</v>
      </c>
      <c r="BB10" t="s">
        <v>157</v>
      </c>
      <c r="BC10" t="s">
        <v>167</v>
      </c>
      <c r="BD10" t="s">
        <v>151</v>
      </c>
    </row>
    <row r="11" spans="1:56">
      <c r="A11">
        <f>COUNTA(Journal!A11:L11)&gt;0</f>
        <v>0</v>
      </c>
      <c r="B11">
        <f>IF(Journal!$C11="",0,IFERROR(MATCH(Journal!$C11,Markets!$A$5:$A$154,0),0))</f>
        <v>0</v>
      </c>
      <c r="C11">
        <f>IF(B11&gt;0,INDEX(Markets!$C$5:$C$154,B11),"")</f>
        <v>0</v>
      </c>
      <c r="D11">
        <f>IF(B11&gt;0,INDEX(Markets!$F$5:$F$154,B11),"")</f>
        <v>0</v>
      </c>
      <c r="E11">
        <f>IF(B11&gt;0,IF(INDEX(Markets!$G$5:$G$154,B11)="",Journal!$D$4,INDEX(Markets!$G$5:$G$154,B11)),"")</f>
        <v>0</v>
      </c>
      <c r="F11">
        <f>IF(B11&gt;0,N(INDEX(Markets!$H$5:$H$154,B11)),0)</f>
        <v>0</v>
      </c>
      <c r="G11">
        <f>IF(AND(ISNUMBER(Journal!$D11),ISNUMBER(Journal!$E11)),SIGN(Journal!$D11-Journal!$E11),0)</f>
        <v>0</v>
      </c>
      <c r="H11">
        <f>IF(AND(ISNUMBER(Journal!$D11),ISNUMBER(Journal!$E11)),ABS(Journal!$D11-Journal!$E11),"")</f>
        <v>0</v>
      </c>
      <c r="I11">
        <f>IF(NOT(A11),"",IF(Journal!$C11="","INSTRUMENT MISSING",IF(B11=0,"UNKNOWN INSTRUMENT",IF(OR(NOT(ISNUMBER(C11)),NOT(ISNUMBER(D11))),"INSTRUMENT SPECS MISSING",IF(OR(C11&lt;=0,D11&lt;=0),"INSTRUMENT SPECS MISSING",IF(NOT(ISNUMBER(Journal!$D11)),"ENTRY MISSING",IF(NOT(ISNUMBER(Journal!$E11)),"SL MISSING",IF(Journal!$E11=Journal!$D11,"SL = ENTRY",IF(NOT(AND(ISNUMBER(Journal!$K11),Journal!$K11&gt;0)),IF(Journal!$H$3="Fixed lots","LOTS MISSING","RISK MISSING"),IF(AND(NOT(Journal!$H$3="Fixed lots"),Journal!$K11&gt;0.2),"RISK % TOO HIGH",""))))))))))</f>
        <v>0</v>
      </c>
      <c r="J11">
        <f>IF(NOT(A11),"",IF(I11&lt;&gt;"",I11,IF(AND(ISNUMBER(Journal!$F11),G11*(Journal!$F11-Journal!$D11)&lt;=0),"TP1 WRONG SIDE",IF(AND(ISNUMBER(Journal!$G11),G11*(Journal!$G11-Journal!$D11)&lt;=0),"TP2 WRONG SIDE",IF(AND(ISNUMBER(Journal!$H11),G11*(Journal!$H11-Journal!$D11)&lt;=0),"TP3 WRONG SIDE",IF(Journal!$J11="","OPEN",IF(AND(Journal!$L11&lt;&gt;"",OR(NOT(ISNUMBER(Journal!$L11)),Journal!$L11&lt;=0,Journal!$L11&gt;=1)),"TP1 % INVALID",IF(Journal!$J11="SL","OK",IF(Journal!$J11="TP",IF(ISNUMBER(Journal!$F11),"OK","TP1 MISSING"),IF(Journal!$J11="Manual exit",IF(ISNUMBER(Journal!$I11),"OK","MANUAL MISSING"),IF(Journal!$J11="TP1 + Breakeven",IF(ISNUMBER(Journal!$F11),"OK","TP1 MISSING"),IF(Journal!$J11="TP1 + Manual",IF(ISNUMBER(Journal!$F11),IF(ISNUMBER(Journal!$I11),"OK","MANUAL MISSING"),IF(ISNUMBER(Journal!$I11),"TP1 MISSING","TP1 &amp; MANUAL MISSING")),IF(Journal!$J11="Multiple TP",IF(ISNUMBER(Journal!$F11),IF(ISNUMBER(Journal!$G11),"OK","TP2 MISSING"),IF(ISNUMBER(Journal!$G11),"TP1 MISSING","TP1 &amp; TP2 MISSING")),"UNKNOWN OUTCOME")))))))))))))</f>
        <v>0</v>
      </c>
      <c r="K11">
        <f>J11="OK"</f>
        <v>0</v>
      </c>
      <c r="L11">
        <f>IF(ISNUMBER(Journal!$L11),Journal!$L11,0.5)</f>
        <v>0</v>
      </c>
      <c r="M11">
        <f>IF(NOT(K11),"",G11*IF(Journal!$J11="SL",Journal!$E11-Journal!$D11,IF(Journal!$J11="TP",Journal!$F11-Journal!$D11,IF(Journal!$J11="Manual exit",Journal!$I11-Journal!$D11,IF(Journal!$J11="TP1 + Breakeven",L11*(Journal!$F11-Journal!$D11),IF(Journal!$J11="TP1 + Manual",L11*(Journal!$F11-Journal!$D11)+(1-L11)*(Journal!$I11-Journal!$D11),(Journal!$F11+Journal!$G11+IF(ISNUMBER(Journal!$H11),Journal!$H11,0))/IF(ISNUMBER(Journal!$H11),3,2)-Journal!$D11))))))</f>
        <v>0</v>
      </c>
      <c r="N11">
        <f>IF(K11,Journal!$D11+G11*M11,"")</f>
        <v>0</v>
      </c>
      <c r="O11">
        <f>Journal!$D$3</f>
        <v>0</v>
      </c>
      <c r="P11">
        <f>IF(OR(NOT(A11),I11&lt;&gt;""),"",IF(Journal!$H$3="Fixed lots",Journal!$K11,IF(Journal!$H$4="Starting balance",Journal!$D$3,O11)*Journal!$K11/(H11*C11*D11)))</f>
        <v>0</v>
      </c>
      <c r="Q11">
        <f>O11+IF(K11,V11,0)</f>
        <v>0</v>
      </c>
      <c r="R11">
        <f>IF(P11="","",H11*P11*C11*D11)</f>
        <v>0</v>
      </c>
      <c r="S11">
        <f>IF(K11,M11*P11*C11*D11,"")</f>
        <v>0</v>
      </c>
      <c r="T11">
        <f>IF(K11,-IF(F11&gt;0,F11*Journal!$D11*P11*C11*D11,P11*E11),"")</f>
        <v>0</v>
      </c>
      <c r="U11">
        <f>IF(K11,IF(S11&gt;0,"W",IF(S11&lt;0,"L","B")),"")</f>
        <v>0</v>
      </c>
      <c r="V11">
        <f>IF(K11,S11+T11,"")</f>
        <v>0</v>
      </c>
      <c r="W11">
        <f>IF(K11,V11/O11,"")</f>
        <v>0</v>
      </c>
      <c r="X11">
        <f>IF(K11,M11/H11,"")</f>
        <v>0</v>
      </c>
      <c r="Y11">
        <f>IF(AND(OR(J11="OK",J11="OPEN"),ISNUMBER(Journal!$F11)),G11*(Journal!$F11-Journal!$D11)/H11,"")</f>
        <v>0</v>
      </c>
      <c r="Z11">
        <f>IF(AA11="","",IF(AND(ISNUMBER(Settings!$D$5),ISNUMBER(Settings!$E$5),IF(Settings!$D$5&lt;=Settings!$E$5,AND(AA11&gt;=Settings!$D$5,AA11&lt;Settings!$E$5),OR(AA11&gt;=Settings!$D$5,AA11&lt;Settings!$E$5))),Settings!$A$5,IF(AND(ISNUMBER(Settings!$D$6),ISNUMBER(Settings!$E$6),IF(Settings!$D$6&lt;=Settings!$E$6,AND(AA11&gt;=Settings!$D$6,AA11&lt;Settings!$E$6),OR(AA11&gt;=Settings!$D$6,AA11&lt;Settings!$E$6))),Settings!$A$6,IF(AND(ISNUMBER(Settings!$D$7),ISNUMBER(Settings!$E$7),IF(Settings!$D$7&lt;=Settings!$E$7,AND(AA11&gt;=Settings!$D$7,AA11&lt;Settings!$E$7),OR(AA11&gt;=Settings!$D$7,AA11&lt;Settings!$E$7))),Settings!$A$7,IF(AND(ISNUMBER(Settings!$D$8),ISNUMBER(Settings!$E$8),IF(Settings!$D$8&lt;=Settings!$E$8,AND(AA11&gt;=Settings!$D$8,AA11&lt;Settings!$E$8),OR(AA11&gt;=Settings!$D$8,AA11&lt;Settings!$E$8))),Settings!$A$8,IF(AND(ISNUMBER(Settings!$D$9),ISNUMBER(Settings!$E$9),IF(Settings!$D$9&lt;=Settings!$E$9,AND(AA11&gt;=Settings!$D$9,AA11&lt;Settings!$E$9),OR(AA11&gt;=Settings!$D$9,AA11&lt;Settings!$E$9))),Settings!$A$9,IF(AND(ISNUMBER(Settings!$D$10),ISNUMBER(Settings!$E$10),IF(Settings!$D$10&lt;=Settings!$E$10,AND(AA11&gt;=Settings!$D$10,AA11&lt;Settings!$E$10),OR(AA11&gt;=Settings!$D$10,AA11&lt;Settings!$E$10))),Settings!$A$10,"")))))))</f>
        <v>0</v>
      </c>
      <c r="AA11">
        <f>IF(AND(A11,ISNUMBER(Journal!$B11)),MOD(ROUND(MOD(Journal!$B11,1)*1440,0)-ROUND(Journal!$D$8*60,0),1440),"")</f>
        <v>0</v>
      </c>
      <c r="AB11">
        <f>IF(G11=1,"LONG",IF(G11=-1,"SHORT",""))</f>
        <v>0</v>
      </c>
      <c r="AC11">
        <f>IF(K11,1,0)</f>
        <v>0</v>
      </c>
      <c r="AD11">
        <f>IF(K11,AC11,"")</f>
        <v>0</v>
      </c>
      <c r="AE11">
        <f>J11="OPEN"</f>
        <v>0</v>
      </c>
      <c r="AF11">
        <f>AND(J11&lt;&gt;"",J11&lt;&gt;"OK",J11&lt;&gt;"OPEN")</f>
        <v>0</v>
      </c>
      <c r="AH11">
        <v>0</v>
      </c>
      <c r="AI11">
        <f>IF(AH11&gt;$AZ$11,"",IF(AH11=0,Journal!$D$3,INDEX($Q$11:$Q$15,MATCH(AH11,$AD$11:$AD$15,0))))</f>
        <v>0</v>
      </c>
      <c r="AJ11">
        <v>1</v>
      </c>
      <c r="AK11">
        <f>IF(AJ11&gt;$AZ$11,"",INDEX($P$11:$P$15,MATCH(AJ11,$AD$11:$AD$15,0)))</f>
        <v>0</v>
      </c>
      <c r="AM11">
        <f>IF(Markets!$A$5="","",Markets!$A$5)</f>
        <v>0</v>
      </c>
      <c r="AN11">
        <f>IF(AM11="",0,COUNTIFS(Journal!$C$11:$C$15,AM11,$K$11:$K$15,TRUE))</f>
        <v>0</v>
      </c>
      <c r="AO11">
        <f>IF(AN11=0,0,SUMIF(Journal!$C$11:$C$15,AM11,$V$11:$V$15))</f>
        <v>0</v>
      </c>
      <c r="AP11">
        <f>IF(AN11&gt;0,COUNTIF($AN$11:AN11,"&gt;0"),"")</f>
        <v>0</v>
      </c>
      <c r="AQ11">
        <v>1</v>
      </c>
      <c r="AR11">
        <f>IF(AQ11&gt;$AZ$36,"",INDEX($AM$11:$AM$160,MATCH(AQ11,$AP$11:$AP$160,0)))</f>
        <v>0</v>
      </c>
      <c r="AS11">
        <f>IF(AQ11&gt;$AZ$36,"",INDEX($AO$11:$AO$160,MATCH(AQ11,$AP$11:$AP$160,0)))</f>
        <v>0</v>
      </c>
      <c r="AU11">
        <f>IF(AND(Settings!$A$5&lt;&gt;"",ISNUMBER(Settings!$D$5),ISNUMBER(Settings!$E$5)),Settings!$A$5,"")</f>
        <v>0</v>
      </c>
      <c r="AV11">
        <f>IF(AU11="",0,COUNTIFS($Z$11:$Z$15,AU11,$K$11:$K$15,TRUE))</f>
        <v>0</v>
      </c>
      <c r="AW11">
        <f>IF(AU11="",0,SUMIF($Z$11:$Z$15,AU11,$V$11:$V$15))</f>
        <v>0</v>
      </c>
      <c r="AY11" t="s">
        <v>175</v>
      </c>
      <c r="AZ11">
        <f>COUNTIF($K$11:$K$15,TRUE)</f>
        <v>0</v>
      </c>
      <c r="BB11" t="s">
        <v>26</v>
      </c>
      <c r="BC11">
        <f>$AZ$32</f>
        <v>0</v>
      </c>
      <c r="BD11">
        <f>$AZ$34</f>
        <v>0</v>
      </c>
    </row>
    <row r="12" spans="1:56">
      <c r="A12">
        <f>COUNTA(Journal!A12:L12)&gt;0</f>
        <v>0</v>
      </c>
      <c r="B12">
        <f>IF(Journal!$C12="",0,IFERROR(MATCH(Journal!$C12,Markets!$A$5:$A$154,0),0))</f>
        <v>0</v>
      </c>
      <c r="C12">
        <f>IF(B12&gt;0,INDEX(Markets!$C$5:$C$154,B12),"")</f>
        <v>0</v>
      </c>
      <c r="D12">
        <f>IF(B12&gt;0,INDEX(Markets!$F$5:$F$154,B12),"")</f>
        <v>0</v>
      </c>
      <c r="E12">
        <f>IF(B12&gt;0,IF(INDEX(Markets!$G$5:$G$154,B12)="",Journal!$D$4,INDEX(Markets!$G$5:$G$154,B12)),"")</f>
        <v>0</v>
      </c>
      <c r="F12">
        <f>IF(B12&gt;0,N(INDEX(Markets!$H$5:$H$154,B12)),0)</f>
        <v>0</v>
      </c>
      <c r="G12">
        <f>IF(AND(ISNUMBER(Journal!$D12),ISNUMBER(Journal!$E12)),SIGN(Journal!$D12-Journal!$E12),0)</f>
        <v>0</v>
      </c>
      <c r="H12">
        <f>IF(AND(ISNUMBER(Journal!$D12),ISNUMBER(Journal!$E12)),ABS(Journal!$D12-Journal!$E12),"")</f>
        <v>0</v>
      </c>
      <c r="I12">
        <f>IF(NOT(A12),"",IF(Journal!$C12="","INSTRUMENT MISSING",IF(B12=0,"UNKNOWN INSTRUMENT",IF(OR(NOT(ISNUMBER(C12)),NOT(ISNUMBER(D12))),"INSTRUMENT SPECS MISSING",IF(OR(C12&lt;=0,D12&lt;=0),"INSTRUMENT SPECS MISSING",IF(NOT(ISNUMBER(Journal!$D12)),"ENTRY MISSING",IF(NOT(ISNUMBER(Journal!$E12)),"SL MISSING",IF(Journal!$E12=Journal!$D12,"SL = ENTRY",IF(NOT(AND(ISNUMBER(Journal!$K12),Journal!$K12&gt;0)),IF(Journal!$H$3="Fixed lots","LOTS MISSING","RISK MISSING"),IF(AND(NOT(Journal!$H$3="Fixed lots"),Journal!$K12&gt;0.2),"RISK % TOO HIGH",""))))))))))</f>
        <v>0</v>
      </c>
      <c r="J12">
        <f>IF(NOT(A12),"",IF(I12&lt;&gt;"",I12,IF(AND(ISNUMBER(Journal!$F12),G12*(Journal!$F12-Journal!$D12)&lt;=0),"TP1 WRONG SIDE",IF(AND(ISNUMBER(Journal!$G12),G12*(Journal!$G12-Journal!$D12)&lt;=0),"TP2 WRONG SIDE",IF(AND(ISNUMBER(Journal!$H12),G12*(Journal!$H12-Journal!$D12)&lt;=0),"TP3 WRONG SIDE",IF(Journal!$J12="","OPEN",IF(AND(Journal!$L12&lt;&gt;"",OR(NOT(ISNUMBER(Journal!$L12)),Journal!$L12&lt;=0,Journal!$L12&gt;=1)),"TP1 % INVALID",IF(Journal!$J12="SL","OK",IF(Journal!$J12="TP",IF(ISNUMBER(Journal!$F12),"OK","TP1 MISSING"),IF(Journal!$J12="Manual exit",IF(ISNUMBER(Journal!$I12),"OK","MANUAL MISSING"),IF(Journal!$J12="TP1 + Breakeven",IF(ISNUMBER(Journal!$F12),"OK","TP1 MISSING"),IF(Journal!$J12="TP1 + Manual",IF(ISNUMBER(Journal!$F12),IF(ISNUMBER(Journal!$I12),"OK","MANUAL MISSING"),IF(ISNUMBER(Journal!$I12),"TP1 MISSING","TP1 &amp; MANUAL MISSING")),IF(Journal!$J12="Multiple TP",IF(ISNUMBER(Journal!$F12),IF(ISNUMBER(Journal!$G12),"OK","TP2 MISSING"),IF(ISNUMBER(Journal!$G12),"TP1 MISSING","TP1 &amp; TP2 MISSING")),"UNKNOWN OUTCOME")))))))))))))</f>
        <v>0</v>
      </c>
      <c r="K12">
        <f>J12="OK"</f>
        <v>0</v>
      </c>
      <c r="L12">
        <f>IF(ISNUMBER(Journal!$L12),Journal!$L12,0.5)</f>
        <v>0</v>
      </c>
      <c r="M12">
        <f>IF(NOT(K12),"",G12*IF(Journal!$J12="SL",Journal!$E12-Journal!$D12,IF(Journal!$J12="TP",Journal!$F12-Journal!$D12,IF(Journal!$J12="Manual exit",Journal!$I12-Journal!$D12,IF(Journal!$J12="TP1 + Breakeven",L12*(Journal!$F12-Journal!$D12),IF(Journal!$J12="TP1 + Manual",L12*(Journal!$F12-Journal!$D12)+(1-L12)*(Journal!$I12-Journal!$D12),(Journal!$F12+Journal!$G12+IF(ISNUMBER(Journal!$H12),Journal!$H12,0))/IF(ISNUMBER(Journal!$H12),3,2)-Journal!$D12))))))</f>
        <v>0</v>
      </c>
      <c r="N12">
        <f>IF(K12,Journal!$D12+G12*M12,"")</f>
        <v>0</v>
      </c>
      <c r="O12">
        <f>Q11</f>
        <v>0</v>
      </c>
      <c r="P12">
        <f>IF(OR(NOT(A12),I12&lt;&gt;""),"",IF(Journal!$H$3="Fixed lots",Journal!$K12,IF(Journal!$H$4="Starting balance",Journal!$D$3,O12)*Journal!$K12/(H12*C12*D12)))</f>
        <v>0</v>
      </c>
      <c r="Q12">
        <f>O12+IF(K12,V12,0)</f>
        <v>0</v>
      </c>
      <c r="R12">
        <f>IF(P12="","",H12*P12*C12*D12)</f>
        <v>0</v>
      </c>
      <c r="S12">
        <f>IF(K12,M12*P12*C12*D12,"")</f>
        <v>0</v>
      </c>
      <c r="T12">
        <f>IF(K12,-IF(F12&gt;0,F12*Journal!$D12*P12*C12*D12,P12*E12),"")</f>
        <v>0</v>
      </c>
      <c r="U12">
        <f>IF(K12,IF(S12&gt;0,"W",IF(S12&lt;0,"L","B")),"")</f>
        <v>0</v>
      </c>
      <c r="V12">
        <f>IF(K12,S12+T12,"")</f>
        <v>0</v>
      </c>
      <c r="W12">
        <f>IF(K12,V12/O12,"")</f>
        <v>0</v>
      </c>
      <c r="X12">
        <f>IF(K12,M12/H12,"")</f>
        <v>0</v>
      </c>
      <c r="Y12">
        <f>IF(AND(OR(J12="OK",J12="OPEN"),ISNUMBER(Journal!$F12)),G12*(Journal!$F12-Journal!$D12)/H12,"")</f>
        <v>0</v>
      </c>
      <c r="Z12">
        <f>IF(AA12="","",IF(AND(ISNUMBER(Settings!$D$5),ISNUMBER(Settings!$E$5),IF(Settings!$D$5&lt;=Settings!$E$5,AND(AA12&gt;=Settings!$D$5,AA12&lt;Settings!$E$5),OR(AA12&gt;=Settings!$D$5,AA12&lt;Settings!$E$5))),Settings!$A$5,IF(AND(ISNUMBER(Settings!$D$6),ISNUMBER(Settings!$E$6),IF(Settings!$D$6&lt;=Settings!$E$6,AND(AA12&gt;=Settings!$D$6,AA12&lt;Settings!$E$6),OR(AA12&gt;=Settings!$D$6,AA12&lt;Settings!$E$6))),Settings!$A$6,IF(AND(ISNUMBER(Settings!$D$7),ISNUMBER(Settings!$E$7),IF(Settings!$D$7&lt;=Settings!$E$7,AND(AA12&gt;=Settings!$D$7,AA12&lt;Settings!$E$7),OR(AA12&gt;=Settings!$D$7,AA12&lt;Settings!$E$7))),Settings!$A$7,IF(AND(ISNUMBER(Settings!$D$8),ISNUMBER(Settings!$E$8),IF(Settings!$D$8&lt;=Settings!$E$8,AND(AA12&gt;=Settings!$D$8,AA12&lt;Settings!$E$8),OR(AA12&gt;=Settings!$D$8,AA12&lt;Settings!$E$8))),Settings!$A$8,IF(AND(ISNUMBER(Settings!$D$9),ISNUMBER(Settings!$E$9),IF(Settings!$D$9&lt;=Settings!$E$9,AND(AA12&gt;=Settings!$D$9,AA12&lt;Settings!$E$9),OR(AA12&gt;=Settings!$D$9,AA12&lt;Settings!$E$9))),Settings!$A$9,IF(AND(ISNUMBER(Settings!$D$10),ISNUMBER(Settings!$E$10),IF(Settings!$D$10&lt;=Settings!$E$10,AND(AA12&gt;=Settings!$D$10,AA12&lt;Settings!$E$10),OR(AA12&gt;=Settings!$D$10,AA12&lt;Settings!$E$10))),Settings!$A$10,"")))))))</f>
        <v>0</v>
      </c>
      <c r="AA12">
        <f>IF(AND(A12,ISNUMBER(Journal!$B12)),MOD(ROUND(MOD(Journal!$B12,1)*1440,0)-ROUND(Journal!$D$8*60,0),1440),"")</f>
        <v>0</v>
      </c>
      <c r="AB12">
        <f>IF(G12=1,"LONG",IF(G12=-1,"SHORT",""))</f>
        <v>0</v>
      </c>
      <c r="AC12">
        <f>AC11+IF(K12,1,0)</f>
        <v>0</v>
      </c>
      <c r="AD12">
        <f>IF(K12,AC12,"")</f>
        <v>0</v>
      </c>
      <c r="AE12">
        <f>J12="OPEN"</f>
        <v>0</v>
      </c>
      <c r="AF12">
        <f>AND(J12&lt;&gt;"",J12&lt;&gt;"OK",J12&lt;&gt;"OPEN")</f>
        <v>0</v>
      </c>
      <c r="AH12">
        <v>1</v>
      </c>
      <c r="AI12">
        <f>IF(AH12&gt;$AZ$11,"",IF(AH12=0,Journal!$D$3,INDEX($Q$11:$Q$15,MATCH(AH12,$AD$11:$AD$15,0))))</f>
        <v>0</v>
      </c>
      <c r="AJ12">
        <v>2</v>
      </c>
      <c r="AK12">
        <f>IF(AJ12&gt;$AZ$11,"",INDEX($P$11:$P$15,MATCH(AJ12,$AD$11:$AD$15,0)))</f>
        <v>0</v>
      </c>
      <c r="AM12">
        <f>IF(Markets!$A$6="","",Markets!$A$6)</f>
        <v>0</v>
      </c>
      <c r="AN12">
        <f>IF(AM12="",0,COUNTIFS(Journal!$C$11:$C$15,AM12,$K$11:$K$15,TRUE))</f>
        <v>0</v>
      </c>
      <c r="AO12">
        <f>IF(AN12=0,0,SUMIF(Journal!$C$11:$C$15,AM12,$V$11:$V$15))</f>
        <v>0</v>
      </c>
      <c r="AP12">
        <f>IF(AN12&gt;0,COUNTIF($AN$11:AN12,"&gt;0"),"")</f>
        <v>0</v>
      </c>
      <c r="AQ12">
        <v>2</v>
      </c>
      <c r="AR12">
        <f>IF(AQ12&gt;$AZ$36,"",INDEX($AM$11:$AM$160,MATCH(AQ12,$AP$11:$AP$160,0)))</f>
        <v>0</v>
      </c>
      <c r="AS12">
        <f>IF(AQ12&gt;$AZ$36,"",INDEX($AO$11:$AO$160,MATCH(AQ12,$AP$11:$AP$160,0)))</f>
        <v>0</v>
      </c>
      <c r="AU12">
        <f>IF(AND(Settings!$A$6&lt;&gt;"",ISNUMBER(Settings!$D$6),ISNUMBER(Settings!$E$6)),Settings!$A$6,"")</f>
        <v>0</v>
      </c>
      <c r="AV12">
        <f>IF(AU12="",0,COUNTIFS($Z$11:$Z$15,AU12,$K$11:$K$15,TRUE))</f>
        <v>0</v>
      </c>
      <c r="AW12">
        <f>IF(AU12="",0,SUMIF($Z$11:$Z$15,AU12,$V$11:$V$15))</f>
        <v>0</v>
      </c>
      <c r="AY12" t="s">
        <v>176</v>
      </c>
      <c r="AZ12">
        <f>COUNTIF($U$11:$U$15,"W")</f>
        <v>0</v>
      </c>
      <c r="BB12" t="s">
        <v>27</v>
      </c>
      <c r="BC12">
        <f>$AZ$33</f>
        <v>0</v>
      </c>
      <c r="BD12">
        <f>$AZ$35</f>
        <v>0</v>
      </c>
    </row>
    <row r="13" spans="1:56">
      <c r="A13">
        <f>COUNTA(Journal!A13:L13)&gt;0</f>
        <v>0</v>
      </c>
      <c r="B13">
        <f>IF(Journal!$C13="",0,IFERROR(MATCH(Journal!$C13,Markets!$A$5:$A$154,0),0))</f>
        <v>0</v>
      </c>
      <c r="C13">
        <f>IF(B13&gt;0,INDEX(Markets!$C$5:$C$154,B13),"")</f>
        <v>0</v>
      </c>
      <c r="D13">
        <f>IF(B13&gt;0,INDEX(Markets!$F$5:$F$154,B13),"")</f>
        <v>0</v>
      </c>
      <c r="E13">
        <f>IF(B13&gt;0,IF(INDEX(Markets!$G$5:$G$154,B13)="",Journal!$D$4,INDEX(Markets!$G$5:$G$154,B13)),"")</f>
        <v>0</v>
      </c>
      <c r="F13">
        <f>IF(B13&gt;0,N(INDEX(Markets!$H$5:$H$154,B13)),0)</f>
        <v>0</v>
      </c>
      <c r="G13">
        <f>IF(AND(ISNUMBER(Journal!$D13),ISNUMBER(Journal!$E13)),SIGN(Journal!$D13-Journal!$E13),0)</f>
        <v>0</v>
      </c>
      <c r="H13">
        <f>IF(AND(ISNUMBER(Journal!$D13),ISNUMBER(Journal!$E13)),ABS(Journal!$D13-Journal!$E13),"")</f>
        <v>0</v>
      </c>
      <c r="I13">
        <f>IF(NOT(A13),"",IF(Journal!$C13="","INSTRUMENT MISSING",IF(B13=0,"UNKNOWN INSTRUMENT",IF(OR(NOT(ISNUMBER(C13)),NOT(ISNUMBER(D13))),"INSTRUMENT SPECS MISSING",IF(OR(C13&lt;=0,D13&lt;=0),"INSTRUMENT SPECS MISSING",IF(NOT(ISNUMBER(Journal!$D13)),"ENTRY MISSING",IF(NOT(ISNUMBER(Journal!$E13)),"SL MISSING",IF(Journal!$E13=Journal!$D13,"SL = ENTRY",IF(NOT(AND(ISNUMBER(Journal!$K13),Journal!$K13&gt;0)),IF(Journal!$H$3="Fixed lots","LOTS MISSING","RISK MISSING"),IF(AND(NOT(Journal!$H$3="Fixed lots"),Journal!$K13&gt;0.2),"RISK % TOO HIGH",""))))))))))</f>
        <v>0</v>
      </c>
      <c r="J13">
        <f>IF(NOT(A13),"",IF(I13&lt;&gt;"",I13,IF(AND(ISNUMBER(Journal!$F13),G13*(Journal!$F13-Journal!$D13)&lt;=0),"TP1 WRONG SIDE",IF(AND(ISNUMBER(Journal!$G13),G13*(Journal!$G13-Journal!$D13)&lt;=0),"TP2 WRONG SIDE",IF(AND(ISNUMBER(Journal!$H13),G13*(Journal!$H13-Journal!$D13)&lt;=0),"TP3 WRONG SIDE",IF(Journal!$J13="","OPEN",IF(AND(Journal!$L13&lt;&gt;"",OR(NOT(ISNUMBER(Journal!$L13)),Journal!$L13&lt;=0,Journal!$L13&gt;=1)),"TP1 % INVALID",IF(Journal!$J13="SL","OK",IF(Journal!$J13="TP",IF(ISNUMBER(Journal!$F13),"OK","TP1 MISSING"),IF(Journal!$J13="Manual exit",IF(ISNUMBER(Journal!$I13),"OK","MANUAL MISSING"),IF(Journal!$J13="TP1 + Breakeven",IF(ISNUMBER(Journal!$F13),"OK","TP1 MISSING"),IF(Journal!$J13="TP1 + Manual",IF(ISNUMBER(Journal!$F13),IF(ISNUMBER(Journal!$I13),"OK","MANUAL MISSING"),IF(ISNUMBER(Journal!$I13),"TP1 MISSING","TP1 &amp; MANUAL MISSING")),IF(Journal!$J13="Multiple TP",IF(ISNUMBER(Journal!$F13),IF(ISNUMBER(Journal!$G13),"OK","TP2 MISSING"),IF(ISNUMBER(Journal!$G13),"TP1 MISSING","TP1 &amp; TP2 MISSING")),"UNKNOWN OUTCOME")))))))))))))</f>
        <v>0</v>
      </c>
      <c r="K13">
        <f>J13="OK"</f>
        <v>0</v>
      </c>
      <c r="L13">
        <f>IF(ISNUMBER(Journal!$L13),Journal!$L13,0.5)</f>
        <v>0</v>
      </c>
      <c r="M13">
        <f>IF(NOT(K13),"",G13*IF(Journal!$J13="SL",Journal!$E13-Journal!$D13,IF(Journal!$J13="TP",Journal!$F13-Journal!$D13,IF(Journal!$J13="Manual exit",Journal!$I13-Journal!$D13,IF(Journal!$J13="TP1 + Breakeven",L13*(Journal!$F13-Journal!$D13),IF(Journal!$J13="TP1 + Manual",L13*(Journal!$F13-Journal!$D13)+(1-L13)*(Journal!$I13-Journal!$D13),(Journal!$F13+Journal!$G13+IF(ISNUMBER(Journal!$H13),Journal!$H13,0))/IF(ISNUMBER(Journal!$H13),3,2)-Journal!$D13))))))</f>
        <v>0</v>
      </c>
      <c r="N13">
        <f>IF(K13,Journal!$D13+G13*M13,"")</f>
        <v>0</v>
      </c>
      <c r="O13">
        <f>Q12</f>
        <v>0</v>
      </c>
      <c r="P13">
        <f>IF(OR(NOT(A13),I13&lt;&gt;""),"",IF(Journal!$H$3="Fixed lots",Journal!$K13,IF(Journal!$H$4="Starting balance",Journal!$D$3,O13)*Journal!$K13/(H13*C13*D13)))</f>
        <v>0</v>
      </c>
      <c r="Q13">
        <f>O13+IF(K13,V13,0)</f>
        <v>0</v>
      </c>
      <c r="R13">
        <f>IF(P13="","",H13*P13*C13*D13)</f>
        <v>0</v>
      </c>
      <c r="S13">
        <f>IF(K13,M13*P13*C13*D13,"")</f>
        <v>0</v>
      </c>
      <c r="T13">
        <f>IF(K13,-IF(F13&gt;0,F13*Journal!$D13*P13*C13*D13,P13*E13),"")</f>
        <v>0</v>
      </c>
      <c r="U13">
        <f>IF(K13,IF(S13&gt;0,"W",IF(S13&lt;0,"L","B")),"")</f>
        <v>0</v>
      </c>
      <c r="V13">
        <f>IF(K13,S13+T13,"")</f>
        <v>0</v>
      </c>
      <c r="W13">
        <f>IF(K13,V13/O13,"")</f>
        <v>0</v>
      </c>
      <c r="X13">
        <f>IF(K13,M13/H13,"")</f>
        <v>0</v>
      </c>
      <c r="Y13">
        <f>IF(AND(OR(J13="OK",J13="OPEN"),ISNUMBER(Journal!$F13)),G13*(Journal!$F13-Journal!$D13)/H13,"")</f>
        <v>0</v>
      </c>
      <c r="Z13">
        <f>IF(AA13="","",IF(AND(ISNUMBER(Settings!$D$5),ISNUMBER(Settings!$E$5),IF(Settings!$D$5&lt;=Settings!$E$5,AND(AA13&gt;=Settings!$D$5,AA13&lt;Settings!$E$5),OR(AA13&gt;=Settings!$D$5,AA13&lt;Settings!$E$5))),Settings!$A$5,IF(AND(ISNUMBER(Settings!$D$6),ISNUMBER(Settings!$E$6),IF(Settings!$D$6&lt;=Settings!$E$6,AND(AA13&gt;=Settings!$D$6,AA13&lt;Settings!$E$6),OR(AA13&gt;=Settings!$D$6,AA13&lt;Settings!$E$6))),Settings!$A$6,IF(AND(ISNUMBER(Settings!$D$7),ISNUMBER(Settings!$E$7),IF(Settings!$D$7&lt;=Settings!$E$7,AND(AA13&gt;=Settings!$D$7,AA13&lt;Settings!$E$7),OR(AA13&gt;=Settings!$D$7,AA13&lt;Settings!$E$7))),Settings!$A$7,IF(AND(ISNUMBER(Settings!$D$8),ISNUMBER(Settings!$E$8),IF(Settings!$D$8&lt;=Settings!$E$8,AND(AA13&gt;=Settings!$D$8,AA13&lt;Settings!$E$8),OR(AA13&gt;=Settings!$D$8,AA13&lt;Settings!$E$8))),Settings!$A$8,IF(AND(ISNUMBER(Settings!$D$9),ISNUMBER(Settings!$E$9),IF(Settings!$D$9&lt;=Settings!$E$9,AND(AA13&gt;=Settings!$D$9,AA13&lt;Settings!$E$9),OR(AA13&gt;=Settings!$D$9,AA13&lt;Settings!$E$9))),Settings!$A$9,IF(AND(ISNUMBER(Settings!$D$10),ISNUMBER(Settings!$E$10),IF(Settings!$D$10&lt;=Settings!$E$10,AND(AA13&gt;=Settings!$D$10,AA13&lt;Settings!$E$10),OR(AA13&gt;=Settings!$D$10,AA13&lt;Settings!$E$10))),Settings!$A$10,"")))))))</f>
        <v>0</v>
      </c>
      <c r="AA13">
        <f>IF(AND(A13,ISNUMBER(Journal!$B13)),MOD(ROUND(MOD(Journal!$B13,1)*1440,0)-ROUND(Journal!$D$8*60,0),1440),"")</f>
        <v>0</v>
      </c>
      <c r="AB13">
        <f>IF(G13=1,"LONG",IF(G13=-1,"SHORT",""))</f>
        <v>0</v>
      </c>
      <c r="AC13">
        <f>AC12+IF(K13,1,0)</f>
        <v>0</v>
      </c>
      <c r="AD13">
        <f>IF(K13,AC13,"")</f>
        <v>0</v>
      </c>
      <c r="AE13">
        <f>J13="OPEN"</f>
        <v>0</v>
      </c>
      <c r="AF13">
        <f>AND(J13&lt;&gt;"",J13&lt;&gt;"OK",J13&lt;&gt;"OPEN")</f>
        <v>0</v>
      </c>
      <c r="AH13">
        <v>2</v>
      </c>
      <c r="AI13">
        <f>IF(AH13&gt;$AZ$11,"",IF(AH13=0,Journal!$D$3,INDEX($Q$11:$Q$15,MATCH(AH13,$AD$11:$AD$15,0))))</f>
        <v>0</v>
      </c>
      <c r="AJ13">
        <v>3</v>
      </c>
      <c r="AK13">
        <f>IF(AJ13&gt;$AZ$11,"",INDEX($P$11:$P$15,MATCH(AJ13,$AD$11:$AD$15,0)))</f>
        <v>0</v>
      </c>
      <c r="AM13">
        <f>IF(Markets!$A$7="","",Markets!$A$7)</f>
        <v>0</v>
      </c>
      <c r="AN13">
        <f>IF(AM13="",0,COUNTIFS(Journal!$C$11:$C$15,AM13,$K$11:$K$15,TRUE))</f>
        <v>0</v>
      </c>
      <c r="AO13">
        <f>IF(AN13=0,0,SUMIF(Journal!$C$11:$C$15,AM13,$V$11:$V$15))</f>
        <v>0</v>
      </c>
      <c r="AP13">
        <f>IF(AN13&gt;0,COUNTIF($AN$11:AN13,"&gt;0"),"")</f>
        <v>0</v>
      </c>
      <c r="AQ13">
        <v>3</v>
      </c>
      <c r="AR13">
        <f>IF(AQ13&gt;$AZ$36,"",INDEX($AM$11:$AM$160,MATCH(AQ13,$AP$11:$AP$160,0)))</f>
        <v>0</v>
      </c>
      <c r="AS13">
        <f>IF(AQ13&gt;$AZ$36,"",INDEX($AO$11:$AO$160,MATCH(AQ13,$AP$11:$AP$160,0)))</f>
        <v>0</v>
      </c>
      <c r="AU13">
        <f>IF(AND(Settings!$A$7&lt;&gt;"",ISNUMBER(Settings!$D$7),ISNUMBER(Settings!$E$7)),Settings!$A$7,"")</f>
        <v>0</v>
      </c>
      <c r="AV13">
        <f>IF(AU13="",0,COUNTIFS($Z$11:$Z$15,AU13,$K$11:$K$15,TRUE))</f>
        <v>0</v>
      </c>
      <c r="AW13">
        <f>IF(AU13="",0,SUMIF($Z$11:$Z$15,AU13,$V$11:$V$15))</f>
        <v>0</v>
      </c>
      <c r="AY13" t="s">
        <v>177</v>
      </c>
      <c r="AZ13">
        <f>COUNTIF($U$11:$U$15,"L")</f>
        <v>0</v>
      </c>
    </row>
    <row r="14" spans="1:56">
      <c r="A14">
        <f>COUNTA(Journal!A14:L14)&gt;0</f>
        <v>0</v>
      </c>
      <c r="B14">
        <f>IF(Journal!$C14="",0,IFERROR(MATCH(Journal!$C14,Markets!$A$5:$A$154,0),0))</f>
        <v>0</v>
      </c>
      <c r="C14">
        <f>IF(B14&gt;0,INDEX(Markets!$C$5:$C$154,B14),"")</f>
        <v>0</v>
      </c>
      <c r="D14">
        <f>IF(B14&gt;0,INDEX(Markets!$F$5:$F$154,B14),"")</f>
        <v>0</v>
      </c>
      <c r="E14">
        <f>IF(B14&gt;0,IF(INDEX(Markets!$G$5:$G$154,B14)="",Journal!$D$4,INDEX(Markets!$G$5:$G$154,B14)),"")</f>
        <v>0</v>
      </c>
      <c r="F14">
        <f>IF(B14&gt;0,N(INDEX(Markets!$H$5:$H$154,B14)),0)</f>
        <v>0</v>
      </c>
      <c r="G14">
        <f>IF(AND(ISNUMBER(Journal!$D14),ISNUMBER(Journal!$E14)),SIGN(Journal!$D14-Journal!$E14),0)</f>
        <v>0</v>
      </c>
      <c r="H14">
        <f>IF(AND(ISNUMBER(Journal!$D14),ISNUMBER(Journal!$E14)),ABS(Journal!$D14-Journal!$E14),"")</f>
        <v>0</v>
      </c>
      <c r="I14">
        <f>IF(NOT(A14),"",IF(Journal!$C14="","INSTRUMENT MISSING",IF(B14=0,"UNKNOWN INSTRUMENT",IF(OR(NOT(ISNUMBER(C14)),NOT(ISNUMBER(D14))),"INSTRUMENT SPECS MISSING",IF(OR(C14&lt;=0,D14&lt;=0),"INSTRUMENT SPECS MISSING",IF(NOT(ISNUMBER(Journal!$D14)),"ENTRY MISSING",IF(NOT(ISNUMBER(Journal!$E14)),"SL MISSING",IF(Journal!$E14=Journal!$D14,"SL = ENTRY",IF(NOT(AND(ISNUMBER(Journal!$K14),Journal!$K14&gt;0)),IF(Journal!$H$3="Fixed lots","LOTS MISSING","RISK MISSING"),IF(AND(NOT(Journal!$H$3="Fixed lots"),Journal!$K14&gt;0.2),"RISK % TOO HIGH",""))))))))))</f>
        <v>0</v>
      </c>
      <c r="J14">
        <f>IF(NOT(A14),"",IF(I14&lt;&gt;"",I14,IF(AND(ISNUMBER(Journal!$F14),G14*(Journal!$F14-Journal!$D14)&lt;=0),"TP1 WRONG SIDE",IF(AND(ISNUMBER(Journal!$G14),G14*(Journal!$G14-Journal!$D14)&lt;=0),"TP2 WRONG SIDE",IF(AND(ISNUMBER(Journal!$H14),G14*(Journal!$H14-Journal!$D14)&lt;=0),"TP3 WRONG SIDE",IF(Journal!$J14="","OPEN",IF(AND(Journal!$L14&lt;&gt;"",OR(NOT(ISNUMBER(Journal!$L14)),Journal!$L14&lt;=0,Journal!$L14&gt;=1)),"TP1 % INVALID",IF(Journal!$J14="SL","OK",IF(Journal!$J14="TP",IF(ISNUMBER(Journal!$F14),"OK","TP1 MISSING"),IF(Journal!$J14="Manual exit",IF(ISNUMBER(Journal!$I14),"OK","MANUAL MISSING"),IF(Journal!$J14="TP1 + Breakeven",IF(ISNUMBER(Journal!$F14),"OK","TP1 MISSING"),IF(Journal!$J14="TP1 + Manual",IF(ISNUMBER(Journal!$F14),IF(ISNUMBER(Journal!$I14),"OK","MANUAL MISSING"),IF(ISNUMBER(Journal!$I14),"TP1 MISSING","TP1 &amp; MANUAL MISSING")),IF(Journal!$J14="Multiple TP",IF(ISNUMBER(Journal!$F14),IF(ISNUMBER(Journal!$G14),"OK","TP2 MISSING"),IF(ISNUMBER(Journal!$G14),"TP1 MISSING","TP1 &amp; TP2 MISSING")),"UNKNOWN OUTCOME")))))))))))))</f>
        <v>0</v>
      </c>
      <c r="K14">
        <f>J14="OK"</f>
        <v>0</v>
      </c>
      <c r="L14">
        <f>IF(ISNUMBER(Journal!$L14),Journal!$L14,0.5)</f>
        <v>0</v>
      </c>
      <c r="M14">
        <f>IF(NOT(K14),"",G14*IF(Journal!$J14="SL",Journal!$E14-Journal!$D14,IF(Journal!$J14="TP",Journal!$F14-Journal!$D14,IF(Journal!$J14="Manual exit",Journal!$I14-Journal!$D14,IF(Journal!$J14="TP1 + Breakeven",L14*(Journal!$F14-Journal!$D14),IF(Journal!$J14="TP1 + Manual",L14*(Journal!$F14-Journal!$D14)+(1-L14)*(Journal!$I14-Journal!$D14),(Journal!$F14+Journal!$G14+IF(ISNUMBER(Journal!$H14),Journal!$H14,0))/IF(ISNUMBER(Journal!$H14),3,2)-Journal!$D14))))))</f>
        <v>0</v>
      </c>
      <c r="N14">
        <f>IF(K14,Journal!$D14+G14*M14,"")</f>
        <v>0</v>
      </c>
      <c r="O14">
        <f>Q13</f>
        <v>0</v>
      </c>
      <c r="P14">
        <f>IF(OR(NOT(A14),I14&lt;&gt;""),"",IF(Journal!$H$3="Fixed lots",Journal!$K14,IF(Journal!$H$4="Starting balance",Journal!$D$3,O14)*Journal!$K14/(H14*C14*D14)))</f>
        <v>0</v>
      </c>
      <c r="Q14">
        <f>O14+IF(K14,V14,0)</f>
        <v>0</v>
      </c>
      <c r="R14">
        <f>IF(P14="","",H14*P14*C14*D14)</f>
        <v>0</v>
      </c>
      <c r="S14">
        <f>IF(K14,M14*P14*C14*D14,"")</f>
        <v>0</v>
      </c>
      <c r="T14">
        <f>IF(K14,-IF(F14&gt;0,F14*Journal!$D14*P14*C14*D14,P14*E14),"")</f>
        <v>0</v>
      </c>
      <c r="U14">
        <f>IF(K14,IF(S14&gt;0,"W",IF(S14&lt;0,"L","B")),"")</f>
        <v>0</v>
      </c>
      <c r="V14">
        <f>IF(K14,S14+T14,"")</f>
        <v>0</v>
      </c>
      <c r="W14">
        <f>IF(K14,V14/O14,"")</f>
        <v>0</v>
      </c>
      <c r="X14">
        <f>IF(K14,M14/H14,"")</f>
        <v>0</v>
      </c>
      <c r="Y14">
        <f>IF(AND(OR(J14="OK",J14="OPEN"),ISNUMBER(Journal!$F14)),G14*(Journal!$F14-Journal!$D14)/H14,"")</f>
        <v>0</v>
      </c>
      <c r="Z14">
        <f>IF(AA14="","",IF(AND(ISNUMBER(Settings!$D$5),ISNUMBER(Settings!$E$5),IF(Settings!$D$5&lt;=Settings!$E$5,AND(AA14&gt;=Settings!$D$5,AA14&lt;Settings!$E$5),OR(AA14&gt;=Settings!$D$5,AA14&lt;Settings!$E$5))),Settings!$A$5,IF(AND(ISNUMBER(Settings!$D$6),ISNUMBER(Settings!$E$6),IF(Settings!$D$6&lt;=Settings!$E$6,AND(AA14&gt;=Settings!$D$6,AA14&lt;Settings!$E$6),OR(AA14&gt;=Settings!$D$6,AA14&lt;Settings!$E$6))),Settings!$A$6,IF(AND(ISNUMBER(Settings!$D$7),ISNUMBER(Settings!$E$7),IF(Settings!$D$7&lt;=Settings!$E$7,AND(AA14&gt;=Settings!$D$7,AA14&lt;Settings!$E$7),OR(AA14&gt;=Settings!$D$7,AA14&lt;Settings!$E$7))),Settings!$A$7,IF(AND(ISNUMBER(Settings!$D$8),ISNUMBER(Settings!$E$8),IF(Settings!$D$8&lt;=Settings!$E$8,AND(AA14&gt;=Settings!$D$8,AA14&lt;Settings!$E$8),OR(AA14&gt;=Settings!$D$8,AA14&lt;Settings!$E$8))),Settings!$A$8,IF(AND(ISNUMBER(Settings!$D$9),ISNUMBER(Settings!$E$9),IF(Settings!$D$9&lt;=Settings!$E$9,AND(AA14&gt;=Settings!$D$9,AA14&lt;Settings!$E$9),OR(AA14&gt;=Settings!$D$9,AA14&lt;Settings!$E$9))),Settings!$A$9,IF(AND(ISNUMBER(Settings!$D$10),ISNUMBER(Settings!$E$10),IF(Settings!$D$10&lt;=Settings!$E$10,AND(AA14&gt;=Settings!$D$10,AA14&lt;Settings!$E$10),OR(AA14&gt;=Settings!$D$10,AA14&lt;Settings!$E$10))),Settings!$A$10,"")))))))</f>
        <v>0</v>
      </c>
      <c r="AA14">
        <f>IF(AND(A14,ISNUMBER(Journal!$B14)),MOD(ROUND(MOD(Journal!$B14,1)*1440,0)-ROUND(Journal!$D$8*60,0),1440),"")</f>
        <v>0</v>
      </c>
      <c r="AB14">
        <f>IF(G14=1,"LONG",IF(G14=-1,"SHORT",""))</f>
        <v>0</v>
      </c>
      <c r="AC14">
        <f>AC13+IF(K14,1,0)</f>
        <v>0</v>
      </c>
      <c r="AD14">
        <f>IF(K14,AC14,"")</f>
        <v>0</v>
      </c>
      <c r="AE14">
        <f>J14="OPEN"</f>
        <v>0</v>
      </c>
      <c r="AF14">
        <f>AND(J14&lt;&gt;"",J14&lt;&gt;"OK",J14&lt;&gt;"OPEN")</f>
        <v>0</v>
      </c>
      <c r="AH14">
        <v>3</v>
      </c>
      <c r="AI14">
        <f>IF(AH14&gt;$AZ$11,"",IF(AH14=0,Journal!$D$3,INDEX($Q$11:$Q$15,MATCH(AH14,$AD$11:$AD$15,0))))</f>
        <v>0</v>
      </c>
      <c r="AJ14">
        <v>4</v>
      </c>
      <c r="AK14">
        <f>IF(AJ14&gt;$AZ$11,"",INDEX($P$11:$P$15,MATCH(AJ14,$AD$11:$AD$15,0)))</f>
        <v>0</v>
      </c>
      <c r="AM14">
        <f>IF(Markets!$A$8="","",Markets!$A$8)</f>
        <v>0</v>
      </c>
      <c r="AN14">
        <f>IF(AM14="",0,COUNTIFS(Journal!$C$11:$C$15,AM14,$K$11:$K$15,TRUE))</f>
        <v>0</v>
      </c>
      <c r="AO14">
        <f>IF(AN14=0,0,SUMIF(Journal!$C$11:$C$15,AM14,$V$11:$V$15))</f>
        <v>0</v>
      </c>
      <c r="AP14">
        <f>IF(AN14&gt;0,COUNTIF($AN$11:AN14,"&gt;0"),"")</f>
        <v>0</v>
      </c>
      <c r="AQ14">
        <v>4</v>
      </c>
      <c r="AR14">
        <f>IF(AQ14&gt;$AZ$36,"",INDEX($AM$11:$AM$160,MATCH(AQ14,$AP$11:$AP$160,0)))</f>
        <v>0</v>
      </c>
      <c r="AS14">
        <f>IF(AQ14&gt;$AZ$36,"",INDEX($AO$11:$AO$160,MATCH(AQ14,$AP$11:$AP$160,0)))</f>
        <v>0</v>
      </c>
      <c r="AU14">
        <f>IF(AND(Settings!$A$8&lt;&gt;"",ISNUMBER(Settings!$D$8),ISNUMBER(Settings!$E$8)),Settings!$A$8,"")</f>
        <v>0</v>
      </c>
      <c r="AV14">
        <f>IF(AU14="",0,COUNTIFS($Z$11:$Z$15,AU14,$K$11:$K$15,TRUE))</f>
        <v>0</v>
      </c>
      <c r="AW14">
        <f>IF(AU14="",0,SUMIF($Z$11:$Z$15,AU14,$V$11:$V$15))</f>
        <v>0</v>
      </c>
      <c r="AY14" t="s">
        <v>178</v>
      </c>
      <c r="AZ14">
        <f>COUNTIF($U$11:$U$15,"B")</f>
        <v>0</v>
      </c>
      <c r="BB14" t="s">
        <v>202</v>
      </c>
      <c r="BC14">
        <f>$AZ$12</f>
        <v>0</v>
      </c>
    </row>
    <row r="15" spans="1:56">
      <c r="A15">
        <f>COUNTA(Journal!A15:L15)&gt;0</f>
        <v>0</v>
      </c>
      <c r="B15">
        <f>IF(Journal!$C15="",0,IFERROR(MATCH(Journal!$C15,Markets!$A$5:$A$154,0),0))</f>
        <v>0</v>
      </c>
      <c r="C15">
        <f>IF(B15&gt;0,INDEX(Markets!$C$5:$C$154,B15),"")</f>
        <v>0</v>
      </c>
      <c r="D15">
        <f>IF(B15&gt;0,INDEX(Markets!$F$5:$F$154,B15),"")</f>
        <v>0</v>
      </c>
      <c r="E15">
        <f>IF(B15&gt;0,IF(INDEX(Markets!$G$5:$G$154,B15)="",Journal!$D$4,INDEX(Markets!$G$5:$G$154,B15)),"")</f>
        <v>0</v>
      </c>
      <c r="F15">
        <f>IF(B15&gt;0,N(INDEX(Markets!$H$5:$H$154,B15)),0)</f>
        <v>0</v>
      </c>
      <c r="G15">
        <f>IF(AND(ISNUMBER(Journal!$D15),ISNUMBER(Journal!$E15)),SIGN(Journal!$D15-Journal!$E15),0)</f>
        <v>0</v>
      </c>
      <c r="H15">
        <f>IF(AND(ISNUMBER(Journal!$D15),ISNUMBER(Journal!$E15)),ABS(Journal!$D15-Journal!$E15),"")</f>
        <v>0</v>
      </c>
      <c r="I15">
        <f>IF(NOT(A15),"",IF(Journal!$C15="","INSTRUMENT MISSING",IF(B15=0,"UNKNOWN INSTRUMENT",IF(OR(NOT(ISNUMBER(C15)),NOT(ISNUMBER(D15))),"INSTRUMENT SPECS MISSING",IF(OR(C15&lt;=0,D15&lt;=0),"INSTRUMENT SPECS MISSING",IF(NOT(ISNUMBER(Journal!$D15)),"ENTRY MISSING",IF(NOT(ISNUMBER(Journal!$E15)),"SL MISSING",IF(Journal!$E15=Journal!$D15,"SL = ENTRY",IF(NOT(AND(ISNUMBER(Journal!$K15),Journal!$K15&gt;0)),IF(Journal!$H$3="Fixed lots","LOTS MISSING","RISK MISSING"),IF(AND(NOT(Journal!$H$3="Fixed lots"),Journal!$K15&gt;0.2),"RISK % TOO HIGH",""))))))))))</f>
        <v>0</v>
      </c>
      <c r="J15">
        <f>IF(NOT(A15),"",IF(I15&lt;&gt;"",I15,IF(AND(ISNUMBER(Journal!$F15),G15*(Journal!$F15-Journal!$D15)&lt;=0),"TP1 WRONG SIDE",IF(AND(ISNUMBER(Journal!$G15),G15*(Journal!$G15-Journal!$D15)&lt;=0),"TP2 WRONG SIDE",IF(AND(ISNUMBER(Journal!$H15),G15*(Journal!$H15-Journal!$D15)&lt;=0),"TP3 WRONG SIDE",IF(Journal!$J15="","OPEN",IF(AND(Journal!$L15&lt;&gt;"",OR(NOT(ISNUMBER(Journal!$L15)),Journal!$L15&lt;=0,Journal!$L15&gt;=1)),"TP1 % INVALID",IF(Journal!$J15="SL","OK",IF(Journal!$J15="TP",IF(ISNUMBER(Journal!$F15),"OK","TP1 MISSING"),IF(Journal!$J15="Manual exit",IF(ISNUMBER(Journal!$I15),"OK","MANUAL MISSING"),IF(Journal!$J15="TP1 + Breakeven",IF(ISNUMBER(Journal!$F15),"OK","TP1 MISSING"),IF(Journal!$J15="TP1 + Manual",IF(ISNUMBER(Journal!$F15),IF(ISNUMBER(Journal!$I15),"OK","MANUAL MISSING"),IF(ISNUMBER(Journal!$I15),"TP1 MISSING","TP1 &amp; MANUAL MISSING")),IF(Journal!$J15="Multiple TP",IF(ISNUMBER(Journal!$F15),IF(ISNUMBER(Journal!$G15),"OK","TP2 MISSING"),IF(ISNUMBER(Journal!$G15),"TP1 MISSING","TP1 &amp; TP2 MISSING")),"UNKNOWN OUTCOME")))))))))))))</f>
        <v>0</v>
      </c>
      <c r="K15">
        <f>J15="OK"</f>
        <v>0</v>
      </c>
      <c r="L15">
        <f>IF(ISNUMBER(Journal!$L15),Journal!$L15,0.5)</f>
        <v>0</v>
      </c>
      <c r="M15">
        <f>IF(NOT(K15),"",G15*IF(Journal!$J15="SL",Journal!$E15-Journal!$D15,IF(Journal!$J15="TP",Journal!$F15-Journal!$D15,IF(Journal!$J15="Manual exit",Journal!$I15-Journal!$D15,IF(Journal!$J15="TP1 + Breakeven",L15*(Journal!$F15-Journal!$D15),IF(Journal!$J15="TP1 + Manual",L15*(Journal!$F15-Journal!$D15)+(1-L15)*(Journal!$I15-Journal!$D15),(Journal!$F15+Journal!$G15+IF(ISNUMBER(Journal!$H15),Journal!$H15,0))/IF(ISNUMBER(Journal!$H15),3,2)-Journal!$D15))))))</f>
        <v>0</v>
      </c>
      <c r="N15">
        <f>IF(K15,Journal!$D15+G15*M15,"")</f>
        <v>0</v>
      </c>
      <c r="O15">
        <f>Q14</f>
        <v>0</v>
      </c>
      <c r="P15">
        <f>IF(OR(NOT(A15),I15&lt;&gt;""),"",IF(Journal!$H$3="Fixed lots",Journal!$K15,IF(Journal!$H$4="Starting balance",Journal!$D$3,O15)*Journal!$K15/(H15*C15*D15)))</f>
        <v>0</v>
      </c>
      <c r="Q15">
        <f>O15+IF(K15,V15,0)</f>
        <v>0</v>
      </c>
      <c r="R15">
        <f>IF(P15="","",H15*P15*C15*D15)</f>
        <v>0</v>
      </c>
      <c r="S15">
        <f>IF(K15,M15*P15*C15*D15,"")</f>
        <v>0</v>
      </c>
      <c r="T15">
        <f>IF(K15,-IF(F15&gt;0,F15*Journal!$D15*P15*C15*D15,P15*E15),"")</f>
        <v>0</v>
      </c>
      <c r="U15">
        <f>IF(K15,IF(S15&gt;0,"W",IF(S15&lt;0,"L","B")),"")</f>
        <v>0</v>
      </c>
      <c r="V15">
        <f>IF(K15,S15+T15,"")</f>
        <v>0</v>
      </c>
      <c r="W15">
        <f>IF(K15,V15/O15,"")</f>
        <v>0</v>
      </c>
      <c r="X15">
        <f>IF(K15,M15/H15,"")</f>
        <v>0</v>
      </c>
      <c r="Y15">
        <f>IF(AND(OR(J15="OK",J15="OPEN"),ISNUMBER(Journal!$F15)),G15*(Journal!$F15-Journal!$D15)/H15,"")</f>
        <v>0</v>
      </c>
      <c r="Z15">
        <f>IF(AA15="","",IF(AND(ISNUMBER(Settings!$D$5),ISNUMBER(Settings!$E$5),IF(Settings!$D$5&lt;=Settings!$E$5,AND(AA15&gt;=Settings!$D$5,AA15&lt;Settings!$E$5),OR(AA15&gt;=Settings!$D$5,AA15&lt;Settings!$E$5))),Settings!$A$5,IF(AND(ISNUMBER(Settings!$D$6),ISNUMBER(Settings!$E$6),IF(Settings!$D$6&lt;=Settings!$E$6,AND(AA15&gt;=Settings!$D$6,AA15&lt;Settings!$E$6),OR(AA15&gt;=Settings!$D$6,AA15&lt;Settings!$E$6))),Settings!$A$6,IF(AND(ISNUMBER(Settings!$D$7),ISNUMBER(Settings!$E$7),IF(Settings!$D$7&lt;=Settings!$E$7,AND(AA15&gt;=Settings!$D$7,AA15&lt;Settings!$E$7),OR(AA15&gt;=Settings!$D$7,AA15&lt;Settings!$E$7))),Settings!$A$7,IF(AND(ISNUMBER(Settings!$D$8),ISNUMBER(Settings!$E$8),IF(Settings!$D$8&lt;=Settings!$E$8,AND(AA15&gt;=Settings!$D$8,AA15&lt;Settings!$E$8),OR(AA15&gt;=Settings!$D$8,AA15&lt;Settings!$E$8))),Settings!$A$8,IF(AND(ISNUMBER(Settings!$D$9),ISNUMBER(Settings!$E$9),IF(Settings!$D$9&lt;=Settings!$E$9,AND(AA15&gt;=Settings!$D$9,AA15&lt;Settings!$E$9),OR(AA15&gt;=Settings!$D$9,AA15&lt;Settings!$E$9))),Settings!$A$9,IF(AND(ISNUMBER(Settings!$D$10),ISNUMBER(Settings!$E$10),IF(Settings!$D$10&lt;=Settings!$E$10,AND(AA15&gt;=Settings!$D$10,AA15&lt;Settings!$E$10),OR(AA15&gt;=Settings!$D$10,AA15&lt;Settings!$E$10))),Settings!$A$10,"")))))))</f>
        <v>0</v>
      </c>
      <c r="AA15">
        <f>IF(AND(A15,ISNUMBER(Journal!$B15)),MOD(ROUND(MOD(Journal!$B15,1)*1440,0)-ROUND(Journal!$D$8*60,0),1440),"")</f>
        <v>0</v>
      </c>
      <c r="AB15">
        <f>IF(G15=1,"LONG",IF(G15=-1,"SHORT",""))</f>
        <v>0</v>
      </c>
      <c r="AC15">
        <f>AC14+IF(K15,1,0)</f>
        <v>0</v>
      </c>
      <c r="AD15">
        <f>IF(K15,AC15,"")</f>
        <v>0</v>
      </c>
      <c r="AE15">
        <f>J15="OPEN"</f>
        <v>0</v>
      </c>
      <c r="AF15">
        <f>AND(J15&lt;&gt;"",J15&lt;&gt;"OK",J15&lt;&gt;"OPEN")</f>
        <v>0</v>
      </c>
      <c r="AH15">
        <v>4</v>
      </c>
      <c r="AI15">
        <f>IF(AH15&gt;$AZ$11,"",IF(AH15=0,Journal!$D$3,INDEX($Q$11:$Q$15,MATCH(AH15,$AD$11:$AD$15,0))))</f>
        <v>0</v>
      </c>
      <c r="AJ15">
        <v>5</v>
      </c>
      <c r="AK15">
        <f>IF(AJ15&gt;$AZ$11,"",INDEX($P$11:$P$15,MATCH(AJ15,$AD$11:$AD$15,0)))</f>
        <v>0</v>
      </c>
      <c r="AM15">
        <f>IF(Markets!$A$9="","",Markets!$A$9)</f>
        <v>0</v>
      </c>
      <c r="AN15">
        <f>IF(AM15="",0,COUNTIFS(Journal!$C$11:$C$15,AM15,$K$11:$K$15,TRUE))</f>
        <v>0</v>
      </c>
      <c r="AO15">
        <f>IF(AN15=0,0,SUMIF(Journal!$C$11:$C$15,AM15,$V$11:$V$15))</f>
        <v>0</v>
      </c>
      <c r="AP15">
        <f>IF(AN15&gt;0,COUNTIF($AN$11:AN15,"&gt;0"),"")</f>
        <v>0</v>
      </c>
      <c r="AQ15">
        <v>5</v>
      </c>
      <c r="AR15">
        <f>IF(AQ15&gt;$AZ$36,"",INDEX($AM$11:$AM$160,MATCH(AQ15,$AP$11:$AP$160,0)))</f>
        <v>0</v>
      </c>
      <c r="AS15">
        <f>IF(AQ15&gt;$AZ$36,"",INDEX($AO$11:$AO$160,MATCH(AQ15,$AP$11:$AP$160,0)))</f>
        <v>0</v>
      </c>
      <c r="AU15">
        <f>IF(AND(Settings!$A$9&lt;&gt;"",ISNUMBER(Settings!$D$9),ISNUMBER(Settings!$E$9)),Settings!$A$9,"")</f>
        <v>0</v>
      </c>
      <c r="AV15">
        <f>IF(AU15="",0,COUNTIFS($Z$11:$Z$15,AU15,$K$11:$K$15,TRUE))</f>
        <v>0</v>
      </c>
      <c r="AW15">
        <f>IF(AU15="",0,SUMIF($Z$11:$Z$15,AU15,$V$11:$V$15))</f>
        <v>0</v>
      </c>
      <c r="AY15" t="s">
        <v>179</v>
      </c>
      <c r="AZ15">
        <f>IF($AZ$11=0,"",$AZ$12/$AZ$11)</f>
        <v>0</v>
      </c>
      <c r="BB15" t="s">
        <v>203</v>
      </c>
      <c r="BC15">
        <f>$AZ$13</f>
        <v>0</v>
      </c>
    </row>
    <row r="16" spans="1:56">
      <c r="AH16">
        <v>5</v>
      </c>
      <c r="AI16">
        <f>IF(AH16&gt;$AZ$11,"",IF(AH16=0,Journal!$D$3,INDEX($Q$11:$Q$15,MATCH(AH16,$AD$11:$AD$15,0))))</f>
        <v>0</v>
      </c>
      <c r="AM16">
        <f>IF(Markets!$A$10="","",Markets!$A$10)</f>
        <v>0</v>
      </c>
      <c r="AN16">
        <f>IF(AM16="",0,COUNTIFS(Journal!$C$11:$C$15,AM16,$K$11:$K$15,TRUE))</f>
        <v>0</v>
      </c>
      <c r="AO16">
        <f>IF(AN16=0,0,SUMIF(Journal!$C$11:$C$15,AM16,$V$11:$V$15))</f>
        <v>0</v>
      </c>
      <c r="AP16">
        <f>IF(AN16&gt;0,COUNTIF($AN$11:AN16,"&gt;0"),"")</f>
        <v>0</v>
      </c>
      <c r="AQ16">
        <v>6</v>
      </c>
      <c r="AR16">
        <f>IF(AQ16&gt;$AZ$36,"",INDEX($AM$11:$AM$160,MATCH(AQ16,$AP$11:$AP$160,0)))</f>
        <v>0</v>
      </c>
      <c r="AS16">
        <f>IF(AQ16&gt;$AZ$36,"",INDEX($AO$11:$AO$160,MATCH(AQ16,$AP$11:$AP$160,0)))</f>
        <v>0</v>
      </c>
      <c r="AU16">
        <f>IF(AND(Settings!$A$10&lt;&gt;"",ISNUMBER(Settings!$D$10),ISNUMBER(Settings!$E$10)),Settings!$A$10,"")</f>
        <v>0</v>
      </c>
      <c r="AV16">
        <f>IF(AU16="",0,COUNTIFS($Z$11:$Z$15,AU16,$K$11:$K$15,TRUE))</f>
        <v>0</v>
      </c>
      <c r="AW16">
        <f>IF(AU16="",0,SUMIF($Z$11:$Z$15,AU16,$V$11:$V$15))</f>
        <v>0</v>
      </c>
      <c r="AY16" t="s">
        <v>180</v>
      </c>
      <c r="AZ16">
        <f>SUMIF($U$11:$U$15,"W",$S$11:$S$15)</f>
        <v>0</v>
      </c>
      <c r="BB16" t="s">
        <v>204</v>
      </c>
      <c r="BC16">
        <f>$AZ$14</f>
        <v>0</v>
      </c>
    </row>
    <row r="17" spans="39:52">
      <c r="AM17">
        <f>IF(Markets!$A$11="","",Markets!$A$11)</f>
        <v>0</v>
      </c>
      <c r="AN17">
        <f>IF(AM17="",0,COUNTIFS(Journal!$C$11:$C$15,AM17,$K$11:$K$15,TRUE))</f>
        <v>0</v>
      </c>
      <c r="AO17">
        <f>IF(AN17=0,0,SUMIF(Journal!$C$11:$C$15,AM17,$V$11:$V$15))</f>
        <v>0</v>
      </c>
      <c r="AP17">
        <f>IF(AN17&gt;0,COUNTIF($AN$11:AN17,"&gt;0"),"")</f>
        <v>0</v>
      </c>
      <c r="AQ17">
        <v>7</v>
      </c>
      <c r="AR17">
        <f>IF(AQ17&gt;$AZ$36,"",INDEX($AM$11:$AM$160,MATCH(AQ17,$AP$11:$AP$160,0)))</f>
        <v>0</v>
      </c>
      <c r="AS17">
        <f>IF(AQ17&gt;$AZ$36,"",INDEX($AO$11:$AO$160,MATCH(AQ17,$AP$11:$AP$160,0)))</f>
        <v>0</v>
      </c>
      <c r="AY17" t="s">
        <v>181</v>
      </c>
      <c r="AZ17">
        <f>-SUMIF($U$11:$U$15,"L",$S$11:$S$15)</f>
        <v>0</v>
      </c>
    </row>
    <row r="18" spans="39:52">
      <c r="AM18">
        <f>IF(Markets!$A$12="","",Markets!$A$12)</f>
        <v>0</v>
      </c>
      <c r="AN18">
        <f>IF(AM18="",0,COUNTIFS(Journal!$C$11:$C$15,AM18,$K$11:$K$15,TRUE))</f>
        <v>0</v>
      </c>
      <c r="AO18">
        <f>IF(AN18=0,0,SUMIF(Journal!$C$11:$C$15,AM18,$V$11:$V$15))</f>
        <v>0</v>
      </c>
      <c r="AP18">
        <f>IF(AN18&gt;0,COUNTIF($AN$11:AN18,"&gt;0"),"")</f>
        <v>0</v>
      </c>
      <c r="AQ18">
        <v>8</v>
      </c>
      <c r="AR18">
        <f>IF(AQ18&gt;$AZ$36,"",INDEX($AM$11:$AM$160,MATCH(AQ18,$AP$11:$AP$160,0)))</f>
        <v>0</v>
      </c>
      <c r="AS18">
        <f>IF(AQ18&gt;$AZ$36,"",INDEX($AO$11:$AO$160,MATCH(AQ18,$AP$11:$AP$160,0)))</f>
        <v>0</v>
      </c>
      <c r="AY18" t="s">
        <v>182</v>
      </c>
      <c r="AZ18">
        <f>IF($AZ$12=0,"",$AZ$16/$AZ$12)</f>
        <v>0</v>
      </c>
    </row>
    <row r="19" spans="39:52">
      <c r="AM19">
        <f>IF(Markets!$A$13="","",Markets!$A$13)</f>
        <v>0</v>
      </c>
      <c r="AN19">
        <f>IF(AM19="",0,COUNTIFS(Journal!$C$11:$C$15,AM19,$K$11:$K$15,TRUE))</f>
        <v>0</v>
      </c>
      <c r="AO19">
        <f>IF(AN19=0,0,SUMIF(Journal!$C$11:$C$15,AM19,$V$11:$V$15))</f>
        <v>0</v>
      </c>
      <c r="AP19">
        <f>IF(AN19&gt;0,COUNTIF($AN$11:AN19,"&gt;0"),"")</f>
        <v>0</v>
      </c>
      <c r="AQ19">
        <v>9</v>
      </c>
      <c r="AR19">
        <f>IF(AQ19&gt;$AZ$36,"",INDEX($AM$11:$AM$160,MATCH(AQ19,$AP$11:$AP$160,0)))</f>
        <v>0</v>
      </c>
      <c r="AS19">
        <f>IF(AQ19&gt;$AZ$36,"",INDEX($AO$11:$AO$160,MATCH(AQ19,$AP$11:$AP$160,0)))</f>
        <v>0</v>
      </c>
      <c r="AY19" t="s">
        <v>183</v>
      </c>
      <c r="AZ19">
        <f>IF($AZ$13=0,"",-$AZ$17/$AZ$13)</f>
        <v>0</v>
      </c>
    </row>
    <row r="20" spans="39:52">
      <c r="AM20">
        <f>IF(Markets!$A$14="","",Markets!$A$14)</f>
        <v>0</v>
      </c>
      <c r="AN20">
        <f>IF(AM20="",0,COUNTIFS(Journal!$C$11:$C$15,AM20,$K$11:$K$15,TRUE))</f>
        <v>0</v>
      </c>
      <c r="AO20">
        <f>IF(AN20=0,0,SUMIF(Journal!$C$11:$C$15,AM20,$V$11:$V$15))</f>
        <v>0</v>
      </c>
      <c r="AP20">
        <f>IF(AN20&gt;0,COUNTIF($AN$11:AN20,"&gt;0"),"")</f>
        <v>0</v>
      </c>
      <c r="AQ20">
        <v>10</v>
      </c>
      <c r="AR20">
        <f>IF(AQ20&gt;$AZ$36,"",INDEX($AM$11:$AM$160,MATCH(AQ20,$AP$11:$AP$160,0)))</f>
        <v>0</v>
      </c>
      <c r="AS20">
        <f>IF(AQ20&gt;$AZ$36,"",INDEX($AO$11:$AO$160,MATCH(AQ20,$AP$11:$AP$160,0)))</f>
        <v>0</v>
      </c>
      <c r="AY20" t="s">
        <v>184</v>
      </c>
      <c r="AZ20">
        <f>IF($AZ$12=0,"",MAX($S$11:$S$15))</f>
        <v>0</v>
      </c>
    </row>
    <row r="21" spans="39:52">
      <c r="AM21">
        <f>IF(Markets!$A$15="","",Markets!$A$15)</f>
        <v>0</v>
      </c>
      <c r="AN21">
        <f>IF(AM21="",0,COUNTIFS(Journal!$C$11:$C$15,AM21,$K$11:$K$15,TRUE))</f>
        <v>0</v>
      </c>
      <c r="AO21">
        <f>IF(AN21=0,0,SUMIF(Journal!$C$11:$C$15,AM21,$V$11:$V$15))</f>
        <v>0</v>
      </c>
      <c r="AP21">
        <f>IF(AN21&gt;0,COUNTIF($AN$11:AN21,"&gt;0"),"")</f>
        <v>0</v>
      </c>
      <c r="AQ21">
        <v>11</v>
      </c>
      <c r="AR21">
        <f>IF(AQ21&gt;$AZ$36,"",INDEX($AM$11:$AM$160,MATCH(AQ21,$AP$11:$AP$160,0)))</f>
        <v>0</v>
      </c>
      <c r="AS21">
        <f>IF(AQ21&gt;$AZ$36,"",INDEX($AO$11:$AO$160,MATCH(AQ21,$AP$11:$AP$160,0)))</f>
        <v>0</v>
      </c>
      <c r="AY21" t="s">
        <v>185</v>
      </c>
      <c r="AZ21">
        <f>IF($AZ$13=0,"",MIN($S$11:$S$15))</f>
        <v>0</v>
      </c>
    </row>
    <row r="22" spans="39:52">
      <c r="AM22">
        <f>IF(Markets!$A$16="","",Markets!$A$16)</f>
        <v>0</v>
      </c>
      <c r="AN22">
        <f>IF(AM22="",0,COUNTIFS(Journal!$C$11:$C$15,AM22,$K$11:$K$15,TRUE))</f>
        <v>0</v>
      </c>
      <c r="AO22">
        <f>IF(AN22=0,0,SUMIF(Journal!$C$11:$C$15,AM22,$V$11:$V$15))</f>
        <v>0</v>
      </c>
      <c r="AP22">
        <f>IF(AN22&gt;0,COUNTIF($AN$11:AN22,"&gt;0"),"")</f>
        <v>0</v>
      </c>
      <c r="AQ22">
        <v>12</v>
      </c>
      <c r="AR22">
        <f>IF(AQ22&gt;$AZ$36,"",INDEX($AM$11:$AM$160,MATCH(AQ22,$AP$11:$AP$160,0)))</f>
        <v>0</v>
      </c>
      <c r="AS22">
        <f>IF(AQ22&gt;$AZ$36,"",INDEX($AO$11:$AO$160,MATCH(AQ22,$AP$11:$AP$160,0)))</f>
        <v>0</v>
      </c>
      <c r="AY22" t="s">
        <v>186</v>
      </c>
      <c r="AZ22">
        <f>IF($AZ$17=0,"n/a",$AZ$16/$AZ$17)</f>
        <v>0</v>
      </c>
    </row>
    <row r="23" spans="39:52">
      <c r="AM23">
        <f>IF(Markets!$A$17="","",Markets!$A$17)</f>
        <v>0</v>
      </c>
      <c r="AN23">
        <f>IF(AM23="",0,COUNTIFS(Journal!$C$11:$C$15,AM23,$K$11:$K$15,TRUE))</f>
        <v>0</v>
      </c>
      <c r="AO23">
        <f>IF(AN23=0,0,SUMIF(Journal!$C$11:$C$15,AM23,$V$11:$V$15))</f>
        <v>0</v>
      </c>
      <c r="AP23">
        <f>IF(AN23&gt;0,COUNTIF($AN$11:AN23,"&gt;0"),"")</f>
        <v>0</v>
      </c>
      <c r="AQ23">
        <v>13</v>
      </c>
      <c r="AR23">
        <f>IF(AQ23&gt;$AZ$36,"",INDEX($AM$11:$AM$160,MATCH(AQ23,$AP$11:$AP$160,0)))</f>
        <v>0</v>
      </c>
      <c r="AS23">
        <f>IF(AQ23&gt;$AZ$36,"",INDEX($AO$11:$AO$160,MATCH(AQ23,$AP$11:$AP$160,0)))</f>
        <v>0</v>
      </c>
      <c r="AY23" t="s">
        <v>187</v>
      </c>
      <c r="AZ23">
        <f>IF(OR($AZ$12=0,$AZ$13=0),"n/a",$AZ$18/ABS($AZ$19))</f>
        <v>0</v>
      </c>
    </row>
    <row r="24" spans="39:52">
      <c r="AM24">
        <f>IF(Markets!$A$18="","",Markets!$A$18)</f>
        <v>0</v>
      </c>
      <c r="AN24">
        <f>IF(AM24="",0,COUNTIFS(Journal!$C$11:$C$15,AM24,$K$11:$K$15,TRUE))</f>
        <v>0</v>
      </c>
      <c r="AO24">
        <f>IF(AN24=0,0,SUMIF(Journal!$C$11:$C$15,AM24,$V$11:$V$15))</f>
        <v>0</v>
      </c>
      <c r="AP24">
        <f>IF(AN24&gt;0,COUNTIF($AN$11:AN24,"&gt;0"),"")</f>
        <v>0</v>
      </c>
      <c r="AQ24">
        <v>14</v>
      </c>
      <c r="AR24">
        <f>IF(AQ24&gt;$AZ$36,"",INDEX($AM$11:$AM$160,MATCH(AQ24,$AP$11:$AP$160,0)))</f>
        <v>0</v>
      </c>
      <c r="AS24">
        <f>IF(AQ24&gt;$AZ$36,"",INDEX($AO$11:$AO$160,MATCH(AQ24,$AP$11:$AP$160,0)))</f>
        <v>0</v>
      </c>
      <c r="AY24" t="s">
        <v>188</v>
      </c>
      <c r="AZ24">
        <f>IF(COUNTIFS($K$11:$K$15,TRUE,$Y$11:$Y$15,"&gt;-1E+300")=0,"",SUMIFS($Y$11:$Y$15,$K$11:$K$15,TRUE)/COUNTIFS($K$11:$K$15,TRUE,$Y$11:$Y$15,"&gt;-1E+300"))</f>
        <v>0</v>
      </c>
    </row>
    <row r="25" spans="39:52">
      <c r="AM25">
        <f>IF(Markets!$A$19="","",Markets!$A$19)</f>
        <v>0</v>
      </c>
      <c r="AN25">
        <f>IF(AM25="",0,COUNTIFS(Journal!$C$11:$C$15,AM25,$K$11:$K$15,TRUE))</f>
        <v>0</v>
      </c>
      <c r="AO25">
        <f>IF(AN25=0,0,SUMIF(Journal!$C$11:$C$15,AM25,$V$11:$V$15))</f>
        <v>0</v>
      </c>
      <c r="AP25">
        <f>IF(AN25&gt;0,COUNTIF($AN$11:AN25,"&gt;0"),"")</f>
        <v>0</v>
      </c>
      <c r="AQ25">
        <v>15</v>
      </c>
      <c r="AR25">
        <f>IF(AQ25&gt;$AZ$36,"",INDEX($AM$11:$AM$160,MATCH(AQ25,$AP$11:$AP$160,0)))</f>
        <v>0</v>
      </c>
      <c r="AS25">
        <f>IF(AQ25&gt;$AZ$36,"",INDEX($AO$11:$AO$160,MATCH(AQ25,$AP$11:$AP$160,0)))</f>
        <v>0</v>
      </c>
      <c r="AY25" t="s">
        <v>189</v>
      </c>
      <c r="AZ25">
        <f>IF($AZ$11=0,"",SUMIFS($X$11:$X$15,$K$11:$K$15,TRUE)/$AZ$11)</f>
        <v>0</v>
      </c>
    </row>
    <row r="26" spans="39:52">
      <c r="AM26">
        <f>IF(Markets!$A$20="","",Markets!$A$20)</f>
        <v>0</v>
      </c>
      <c r="AN26">
        <f>IF(AM26="",0,COUNTIFS(Journal!$C$11:$C$15,AM26,$K$11:$K$15,TRUE))</f>
        <v>0</v>
      </c>
      <c r="AO26">
        <f>IF(AN26=0,0,SUMIF(Journal!$C$11:$C$15,AM26,$V$11:$V$15))</f>
        <v>0</v>
      </c>
      <c r="AP26">
        <f>IF(AN26&gt;0,COUNTIF($AN$11:AN26,"&gt;0"),"")</f>
        <v>0</v>
      </c>
      <c r="AQ26">
        <v>16</v>
      </c>
      <c r="AR26">
        <f>IF(AQ26&gt;$AZ$36,"",INDEX($AM$11:$AM$160,MATCH(AQ26,$AP$11:$AP$160,0)))</f>
        <v>0</v>
      </c>
      <c r="AS26">
        <f>IF(AQ26&gt;$AZ$36,"",INDEX($AO$11:$AO$160,MATCH(AQ26,$AP$11:$AP$160,0)))</f>
        <v>0</v>
      </c>
      <c r="AY26" t="s">
        <v>190</v>
      </c>
      <c r="AZ26">
        <f>SUM($T$11:$T$15)</f>
        <v>0</v>
      </c>
    </row>
    <row r="27" spans="39:52">
      <c r="AM27">
        <f>IF(Markets!$A$21="","",Markets!$A$21)</f>
        <v>0</v>
      </c>
      <c r="AN27">
        <f>IF(AM27="",0,COUNTIFS(Journal!$C$11:$C$15,AM27,$K$11:$K$15,TRUE))</f>
        <v>0</v>
      </c>
      <c r="AO27">
        <f>IF(AN27=0,0,SUMIF(Journal!$C$11:$C$15,AM27,$V$11:$V$15))</f>
        <v>0</v>
      </c>
      <c r="AP27">
        <f>IF(AN27&gt;0,COUNTIF($AN$11:AN27,"&gt;0"),"")</f>
        <v>0</v>
      </c>
      <c r="AQ27">
        <v>17</v>
      </c>
      <c r="AR27">
        <f>IF(AQ27&gt;$AZ$36,"",INDEX($AM$11:$AM$160,MATCH(AQ27,$AP$11:$AP$160,0)))</f>
        <v>0</v>
      </c>
      <c r="AS27">
        <f>IF(AQ27&gt;$AZ$36,"",INDEX($AO$11:$AO$160,MATCH(AQ27,$AP$11:$AP$160,0)))</f>
        <v>0</v>
      </c>
      <c r="AY27" t="s">
        <v>151</v>
      </c>
      <c r="AZ27">
        <f>SUM($V$11:$V$15)</f>
        <v>0</v>
      </c>
    </row>
    <row r="28" spans="39:52">
      <c r="AM28">
        <f>IF(Markets!$A$22="","",Markets!$A$22)</f>
        <v>0</v>
      </c>
      <c r="AN28">
        <f>IF(AM28="",0,COUNTIFS(Journal!$C$11:$C$15,AM28,$K$11:$K$15,TRUE))</f>
        <v>0</v>
      </c>
      <c r="AO28">
        <f>IF(AN28=0,0,SUMIF(Journal!$C$11:$C$15,AM28,$V$11:$V$15))</f>
        <v>0</v>
      </c>
      <c r="AP28">
        <f>IF(AN28&gt;0,COUNTIF($AN$11:AN28,"&gt;0"),"")</f>
        <v>0</v>
      </c>
      <c r="AQ28">
        <v>18</v>
      </c>
      <c r="AR28">
        <f>IF(AQ28&gt;$AZ$36,"",INDEX($AM$11:$AM$160,MATCH(AQ28,$AP$11:$AP$160,0)))</f>
        <v>0</v>
      </c>
      <c r="AS28">
        <f>IF(AQ28&gt;$AZ$36,"",INDEX($AO$11:$AO$160,MATCH(AQ28,$AP$11:$AP$160,0)))</f>
        <v>0</v>
      </c>
      <c r="AY28" t="s">
        <v>191</v>
      </c>
      <c r="AZ28">
        <f>IF($AZ$11=0,"",$AZ$27/$AZ$11)</f>
        <v>0</v>
      </c>
    </row>
    <row r="29" spans="39:52">
      <c r="AM29">
        <f>IF(Markets!$A$23="","",Markets!$A$23)</f>
        <v>0</v>
      </c>
      <c r="AN29">
        <f>IF(AM29="",0,COUNTIFS(Journal!$C$11:$C$15,AM29,$K$11:$K$15,TRUE))</f>
        <v>0</v>
      </c>
      <c r="AO29">
        <f>IF(AN29=0,0,SUMIF(Journal!$C$11:$C$15,AM29,$V$11:$V$15))</f>
        <v>0</v>
      </c>
      <c r="AP29">
        <f>IF(AN29&gt;0,COUNTIF($AN$11:AN29,"&gt;0"),"")</f>
        <v>0</v>
      </c>
      <c r="AQ29">
        <v>19</v>
      </c>
      <c r="AR29">
        <f>IF(AQ29&gt;$AZ$36,"",INDEX($AM$11:$AM$160,MATCH(AQ29,$AP$11:$AP$160,0)))</f>
        <v>0</v>
      </c>
      <c r="AS29">
        <f>IF(AQ29&gt;$AZ$36,"",INDEX($AO$11:$AO$160,MATCH(AQ29,$AP$11:$AP$160,0)))</f>
        <v>0</v>
      </c>
      <c r="AY29" t="s">
        <v>192</v>
      </c>
      <c r="AZ29">
        <f>IF(Journal!$D$3=0,"",$AZ$27/Journal!$D$3)</f>
        <v>0</v>
      </c>
    </row>
    <row r="30" spans="39:52">
      <c r="AM30">
        <f>IF(Markets!$A$24="","",Markets!$A$24)</f>
        <v>0</v>
      </c>
      <c r="AN30">
        <f>IF(AM30="",0,COUNTIFS(Journal!$C$11:$C$15,AM30,$K$11:$K$15,TRUE))</f>
        <v>0</v>
      </c>
      <c r="AO30">
        <f>IF(AN30=0,0,SUMIF(Journal!$C$11:$C$15,AM30,$V$11:$V$15))</f>
        <v>0</v>
      </c>
      <c r="AP30">
        <f>IF(AN30&gt;0,COUNTIF($AN$11:AN30,"&gt;0"),"")</f>
        <v>0</v>
      </c>
      <c r="AQ30">
        <v>20</v>
      </c>
      <c r="AR30">
        <f>IF(AQ30&gt;$AZ$36,"",INDEX($AM$11:$AM$160,MATCH(AQ30,$AP$11:$AP$160,0)))</f>
        <v>0</v>
      </c>
      <c r="AS30">
        <f>IF(AQ30&gt;$AZ$36,"",INDEX($AO$11:$AO$160,MATCH(AQ30,$AP$11:$AP$160,0)))</f>
        <v>0</v>
      </c>
      <c r="AY30" t="s">
        <v>160</v>
      </c>
      <c r="AZ30">
        <f>COUNTIF($AE$11:$AE$15,TRUE)</f>
        <v>0</v>
      </c>
    </row>
    <row r="31" spans="39:52">
      <c r="AM31">
        <f>IF(Markets!$A$25="","",Markets!$A$25)</f>
        <v>0</v>
      </c>
      <c r="AN31">
        <f>IF(AM31="",0,COUNTIFS(Journal!$C$11:$C$15,AM31,$K$11:$K$15,TRUE))</f>
        <v>0</v>
      </c>
      <c r="AO31">
        <f>IF(AN31=0,0,SUMIF(Journal!$C$11:$C$15,AM31,$V$11:$V$15))</f>
        <v>0</v>
      </c>
      <c r="AP31">
        <f>IF(AN31&gt;0,COUNTIF($AN$11:AN31,"&gt;0"),"")</f>
        <v>0</v>
      </c>
      <c r="AQ31">
        <v>21</v>
      </c>
      <c r="AR31">
        <f>IF(AQ31&gt;$AZ$36,"",INDEX($AM$11:$AM$160,MATCH(AQ31,$AP$11:$AP$160,0)))</f>
        <v>0</v>
      </c>
      <c r="AS31">
        <f>IF(AQ31&gt;$AZ$36,"",INDEX($AO$11:$AO$160,MATCH(AQ31,$AP$11:$AP$160,0)))</f>
        <v>0</v>
      </c>
      <c r="AY31" t="s">
        <v>193</v>
      </c>
      <c r="AZ31">
        <f>COUNTIF($AF$11:$AF$15,TRUE)</f>
        <v>0</v>
      </c>
    </row>
    <row r="32" spans="39:52">
      <c r="AM32">
        <f>IF(Markets!$A$26="","",Markets!$A$26)</f>
        <v>0</v>
      </c>
      <c r="AN32">
        <f>IF(AM32="",0,COUNTIFS(Journal!$C$11:$C$15,AM32,$K$11:$K$15,TRUE))</f>
        <v>0</v>
      </c>
      <c r="AO32">
        <f>IF(AN32=0,0,SUMIF(Journal!$C$11:$C$15,AM32,$V$11:$V$15))</f>
        <v>0</v>
      </c>
      <c r="AP32">
        <f>IF(AN32&gt;0,COUNTIF($AN$11:AN32,"&gt;0"),"")</f>
        <v>0</v>
      </c>
      <c r="AQ32">
        <v>22</v>
      </c>
      <c r="AR32">
        <f>IF(AQ32&gt;$AZ$36,"",INDEX($AM$11:$AM$160,MATCH(AQ32,$AP$11:$AP$160,0)))</f>
        <v>0</v>
      </c>
      <c r="AS32">
        <f>IF(AQ32&gt;$AZ$36,"",INDEX($AO$11:$AO$160,MATCH(AQ32,$AP$11:$AP$160,0)))</f>
        <v>0</v>
      </c>
      <c r="AY32" t="s">
        <v>194</v>
      </c>
      <c r="AZ32">
        <f>COUNTIFS($AB$11:$AB$15,"LONG",$K$11:$K$15,TRUE)</f>
        <v>0</v>
      </c>
    </row>
    <row r="33" spans="39:52">
      <c r="AM33">
        <f>IF(Markets!$A$27="","",Markets!$A$27)</f>
        <v>0</v>
      </c>
      <c r="AN33">
        <f>IF(AM33="",0,COUNTIFS(Journal!$C$11:$C$15,AM33,$K$11:$K$15,TRUE))</f>
        <v>0</v>
      </c>
      <c r="AO33">
        <f>IF(AN33=0,0,SUMIF(Journal!$C$11:$C$15,AM33,$V$11:$V$15))</f>
        <v>0</v>
      </c>
      <c r="AP33">
        <f>IF(AN33&gt;0,COUNTIF($AN$11:AN33,"&gt;0"),"")</f>
        <v>0</v>
      </c>
      <c r="AQ33">
        <v>23</v>
      </c>
      <c r="AR33">
        <f>IF(AQ33&gt;$AZ$36,"",INDEX($AM$11:$AM$160,MATCH(AQ33,$AP$11:$AP$160,0)))</f>
        <v>0</v>
      </c>
      <c r="AS33">
        <f>IF(AQ33&gt;$AZ$36,"",INDEX($AO$11:$AO$160,MATCH(AQ33,$AP$11:$AP$160,0)))</f>
        <v>0</v>
      </c>
      <c r="AY33" t="s">
        <v>195</v>
      </c>
      <c r="AZ33">
        <f>COUNTIFS($AB$11:$AB$15,"SHORT",$K$11:$K$15,TRUE)</f>
        <v>0</v>
      </c>
    </row>
    <row r="34" spans="39:52">
      <c r="AM34">
        <f>IF(Markets!$A$28="","",Markets!$A$28)</f>
        <v>0</v>
      </c>
      <c r="AN34">
        <f>IF(AM34="",0,COUNTIFS(Journal!$C$11:$C$15,AM34,$K$11:$K$15,TRUE))</f>
        <v>0</v>
      </c>
      <c r="AO34">
        <f>IF(AN34=0,0,SUMIF(Journal!$C$11:$C$15,AM34,$V$11:$V$15))</f>
        <v>0</v>
      </c>
      <c r="AP34">
        <f>IF(AN34&gt;0,COUNTIF($AN$11:AN34,"&gt;0"),"")</f>
        <v>0</v>
      </c>
      <c r="AQ34">
        <v>24</v>
      </c>
      <c r="AR34">
        <f>IF(AQ34&gt;$AZ$36,"",INDEX($AM$11:$AM$160,MATCH(AQ34,$AP$11:$AP$160,0)))</f>
        <v>0</v>
      </c>
      <c r="AS34">
        <f>IF(AQ34&gt;$AZ$36,"",INDEX($AO$11:$AO$160,MATCH(AQ34,$AP$11:$AP$160,0)))</f>
        <v>0</v>
      </c>
      <c r="AY34" t="s">
        <v>196</v>
      </c>
      <c r="AZ34">
        <f>SUMIFS($V$11:$V$15,$AB$11:$AB$15,"LONG")</f>
        <v>0</v>
      </c>
    </row>
    <row r="35" spans="39:52">
      <c r="AM35">
        <f>IF(Markets!$A$29="","",Markets!$A$29)</f>
        <v>0</v>
      </c>
      <c r="AN35">
        <f>IF(AM35="",0,COUNTIFS(Journal!$C$11:$C$15,AM35,$K$11:$K$15,TRUE))</f>
        <v>0</v>
      </c>
      <c r="AO35">
        <f>IF(AN35=0,0,SUMIF(Journal!$C$11:$C$15,AM35,$V$11:$V$15))</f>
        <v>0</v>
      </c>
      <c r="AP35">
        <f>IF(AN35&gt;0,COUNTIF($AN$11:AN35,"&gt;0"),"")</f>
        <v>0</v>
      </c>
      <c r="AQ35">
        <v>25</v>
      </c>
      <c r="AR35">
        <f>IF(AQ35&gt;$AZ$36,"",INDEX($AM$11:$AM$160,MATCH(AQ35,$AP$11:$AP$160,0)))</f>
        <v>0</v>
      </c>
      <c r="AS35">
        <f>IF(AQ35&gt;$AZ$36,"",INDEX($AO$11:$AO$160,MATCH(AQ35,$AP$11:$AP$160,0)))</f>
        <v>0</v>
      </c>
      <c r="AY35" t="s">
        <v>197</v>
      </c>
      <c r="AZ35">
        <f>SUMIFS($V$11:$V$15,$AB$11:$AB$15,"SHORT")</f>
        <v>0</v>
      </c>
    </row>
    <row r="36" spans="39:52">
      <c r="AM36">
        <f>IF(Markets!$A$30="","",Markets!$A$30)</f>
        <v>0</v>
      </c>
      <c r="AN36">
        <f>IF(AM36="",0,COUNTIFS(Journal!$C$11:$C$15,AM36,$K$11:$K$15,TRUE))</f>
        <v>0</v>
      </c>
      <c r="AO36">
        <f>IF(AN36=0,0,SUMIF(Journal!$C$11:$C$15,AM36,$V$11:$V$15))</f>
        <v>0</v>
      </c>
      <c r="AP36">
        <f>IF(AN36&gt;0,COUNTIF($AN$11:AN36,"&gt;0"),"")</f>
        <v>0</v>
      </c>
      <c r="AQ36">
        <v>26</v>
      </c>
      <c r="AR36">
        <f>IF(AQ36&gt;$AZ$36,"",INDEX($AM$11:$AM$160,MATCH(AQ36,$AP$11:$AP$160,0)))</f>
        <v>0</v>
      </c>
      <c r="AS36">
        <f>IF(AQ36&gt;$AZ$36,"",INDEX($AO$11:$AO$160,MATCH(AQ36,$AP$11:$AP$160,0)))</f>
        <v>0</v>
      </c>
      <c r="AY36" t="s">
        <v>198</v>
      </c>
      <c r="AZ36">
        <f>COUNTIF($AN$11:$AN$160,"&gt;0")</f>
        <v>0</v>
      </c>
    </row>
    <row r="37" spans="39:52">
      <c r="AM37">
        <f>IF(Markets!$A$31="","",Markets!$A$31)</f>
        <v>0</v>
      </c>
      <c r="AN37">
        <f>IF(AM37="",0,COUNTIFS(Journal!$C$11:$C$15,AM37,$K$11:$K$15,TRUE))</f>
        <v>0</v>
      </c>
      <c r="AO37">
        <f>IF(AN37=0,0,SUMIF(Journal!$C$11:$C$15,AM37,$V$11:$V$15))</f>
        <v>0</v>
      </c>
      <c r="AP37">
        <f>IF(AN37&gt;0,COUNTIF($AN$11:AN37,"&gt;0"),"")</f>
        <v>0</v>
      </c>
      <c r="AQ37">
        <v>27</v>
      </c>
      <c r="AR37">
        <f>IF(AQ37&gt;$AZ$36,"",INDEX($AM$11:$AM$160,MATCH(AQ37,$AP$11:$AP$160,0)))</f>
        <v>0</v>
      </c>
      <c r="AS37">
        <f>IF(AQ37&gt;$AZ$36,"",INDEX($AO$11:$AO$160,MATCH(AQ37,$AP$11:$AP$160,0)))</f>
        <v>0</v>
      </c>
      <c r="AY37" t="s">
        <v>199</v>
      </c>
      <c r="AZ37">
        <f>COUNTIF($AU$11:$AU$16,"?*")</f>
        <v>0</v>
      </c>
    </row>
    <row r="38" spans="39:52">
      <c r="AM38">
        <f>IF(Markets!$A$32="","",Markets!$A$32)</f>
        <v>0</v>
      </c>
      <c r="AN38">
        <f>IF(AM38="",0,COUNTIFS(Journal!$C$11:$C$15,AM38,$K$11:$K$15,TRUE))</f>
        <v>0</v>
      </c>
      <c r="AO38">
        <f>IF(AN38=0,0,SUMIF(Journal!$C$11:$C$15,AM38,$V$11:$V$15))</f>
        <v>0</v>
      </c>
      <c r="AP38">
        <f>IF(AN38&gt;0,COUNTIF($AN$11:AN38,"&gt;0"),"")</f>
        <v>0</v>
      </c>
      <c r="AQ38">
        <v>28</v>
      </c>
      <c r="AR38">
        <f>IF(AQ38&gt;$AZ$36,"",INDEX($AM$11:$AM$160,MATCH(AQ38,$AP$11:$AP$160,0)))</f>
        <v>0</v>
      </c>
      <c r="AS38">
        <f>IF(AQ38&gt;$AZ$36,"",INDEX($AO$11:$AO$160,MATCH(AQ38,$AP$11:$AP$160,0)))</f>
        <v>0</v>
      </c>
      <c r="AY38" t="s">
        <v>200</v>
      </c>
      <c r="AZ38">
        <f>Journal!$D$3+$AZ$27</f>
        <v>0</v>
      </c>
    </row>
    <row r="39" spans="39:52">
      <c r="AM39">
        <f>IF(Markets!$A$33="","",Markets!$A$33)</f>
        <v>0</v>
      </c>
      <c r="AN39">
        <f>IF(AM39="",0,COUNTIFS(Journal!$C$11:$C$15,AM39,$K$11:$K$15,TRUE))</f>
        <v>0</v>
      </c>
      <c r="AO39">
        <f>IF(AN39=0,0,SUMIF(Journal!$C$11:$C$15,AM39,$V$11:$V$15))</f>
        <v>0</v>
      </c>
      <c r="AP39">
        <f>IF(AN39&gt;0,COUNTIF($AN$11:AN39,"&gt;0"),"")</f>
        <v>0</v>
      </c>
      <c r="AQ39">
        <v>29</v>
      </c>
      <c r="AR39">
        <f>IF(AQ39&gt;$AZ$36,"",INDEX($AM$11:$AM$160,MATCH(AQ39,$AP$11:$AP$160,0)))</f>
        <v>0</v>
      </c>
      <c r="AS39">
        <f>IF(AQ39&gt;$AZ$36,"",INDEX($AO$11:$AO$160,MATCH(AQ39,$AP$11:$AP$160,0)))</f>
        <v>0</v>
      </c>
      <c r="AY39" t="s">
        <v>201</v>
      </c>
      <c r="AZ39">
        <f>SUM($S$11:$S$15)</f>
        <v>0</v>
      </c>
    </row>
    <row r="40" spans="39:52">
      <c r="AM40">
        <f>IF(Markets!$A$34="","",Markets!$A$34)</f>
        <v>0</v>
      </c>
      <c r="AN40">
        <f>IF(AM40="",0,COUNTIFS(Journal!$C$11:$C$15,AM40,$K$11:$K$15,TRUE))</f>
        <v>0</v>
      </c>
      <c r="AO40">
        <f>IF(AN40=0,0,SUMIF(Journal!$C$11:$C$15,AM40,$V$11:$V$15))</f>
        <v>0</v>
      </c>
      <c r="AP40">
        <f>IF(AN40&gt;0,COUNTIF($AN$11:AN40,"&gt;0"),"")</f>
        <v>0</v>
      </c>
      <c r="AQ40">
        <v>30</v>
      </c>
      <c r="AR40">
        <f>IF(AQ40&gt;$AZ$36,"",INDEX($AM$11:$AM$160,MATCH(AQ40,$AP$11:$AP$160,0)))</f>
        <v>0</v>
      </c>
      <c r="AS40">
        <f>IF(AQ40&gt;$AZ$36,"",INDEX($AO$11:$AO$160,MATCH(AQ40,$AP$11:$AP$160,0)))</f>
        <v>0</v>
      </c>
    </row>
    <row r="41" spans="39:52">
      <c r="AM41">
        <f>IF(Markets!$A$35="","",Markets!$A$35)</f>
        <v>0</v>
      </c>
      <c r="AN41">
        <f>IF(AM41="",0,COUNTIFS(Journal!$C$11:$C$15,AM41,$K$11:$K$15,TRUE))</f>
        <v>0</v>
      </c>
      <c r="AO41">
        <f>IF(AN41=0,0,SUMIF(Journal!$C$11:$C$15,AM41,$V$11:$V$15))</f>
        <v>0</v>
      </c>
      <c r="AP41">
        <f>IF(AN41&gt;0,COUNTIF($AN$11:AN41,"&gt;0"),"")</f>
        <v>0</v>
      </c>
      <c r="AQ41">
        <v>31</v>
      </c>
      <c r="AR41">
        <f>IF(AQ41&gt;$AZ$36,"",INDEX($AM$11:$AM$160,MATCH(AQ41,$AP$11:$AP$160,0)))</f>
        <v>0</v>
      </c>
      <c r="AS41">
        <f>IF(AQ41&gt;$AZ$36,"",INDEX($AO$11:$AO$160,MATCH(AQ41,$AP$11:$AP$160,0)))</f>
        <v>0</v>
      </c>
    </row>
    <row r="42" spans="39:52">
      <c r="AM42">
        <f>IF(Markets!$A$36="","",Markets!$A$36)</f>
        <v>0</v>
      </c>
      <c r="AN42">
        <f>IF(AM42="",0,COUNTIFS(Journal!$C$11:$C$15,AM42,$K$11:$K$15,TRUE))</f>
        <v>0</v>
      </c>
      <c r="AO42">
        <f>IF(AN42=0,0,SUMIF(Journal!$C$11:$C$15,AM42,$V$11:$V$15))</f>
        <v>0</v>
      </c>
      <c r="AP42">
        <f>IF(AN42&gt;0,COUNTIF($AN$11:AN42,"&gt;0"),"")</f>
        <v>0</v>
      </c>
      <c r="AQ42">
        <v>32</v>
      </c>
      <c r="AR42">
        <f>IF(AQ42&gt;$AZ$36,"",INDEX($AM$11:$AM$160,MATCH(AQ42,$AP$11:$AP$160,0)))</f>
        <v>0</v>
      </c>
      <c r="AS42">
        <f>IF(AQ42&gt;$AZ$36,"",INDEX($AO$11:$AO$160,MATCH(AQ42,$AP$11:$AP$160,0)))</f>
        <v>0</v>
      </c>
    </row>
    <row r="43" spans="39:52">
      <c r="AM43">
        <f>IF(Markets!$A$37="","",Markets!$A$37)</f>
        <v>0</v>
      </c>
      <c r="AN43">
        <f>IF(AM43="",0,COUNTIFS(Journal!$C$11:$C$15,AM43,$K$11:$K$15,TRUE))</f>
        <v>0</v>
      </c>
      <c r="AO43">
        <f>IF(AN43=0,0,SUMIF(Journal!$C$11:$C$15,AM43,$V$11:$V$15))</f>
        <v>0</v>
      </c>
      <c r="AP43">
        <f>IF(AN43&gt;0,COUNTIF($AN$11:AN43,"&gt;0"),"")</f>
        <v>0</v>
      </c>
      <c r="AQ43">
        <v>33</v>
      </c>
      <c r="AR43">
        <f>IF(AQ43&gt;$AZ$36,"",INDEX($AM$11:$AM$160,MATCH(AQ43,$AP$11:$AP$160,0)))</f>
        <v>0</v>
      </c>
      <c r="AS43">
        <f>IF(AQ43&gt;$AZ$36,"",INDEX($AO$11:$AO$160,MATCH(AQ43,$AP$11:$AP$160,0)))</f>
        <v>0</v>
      </c>
    </row>
    <row r="44" spans="39:52">
      <c r="AM44">
        <f>IF(Markets!$A$38="","",Markets!$A$38)</f>
        <v>0</v>
      </c>
      <c r="AN44">
        <f>IF(AM44="",0,COUNTIFS(Journal!$C$11:$C$15,AM44,$K$11:$K$15,TRUE))</f>
        <v>0</v>
      </c>
      <c r="AO44">
        <f>IF(AN44=0,0,SUMIF(Journal!$C$11:$C$15,AM44,$V$11:$V$15))</f>
        <v>0</v>
      </c>
      <c r="AP44">
        <f>IF(AN44&gt;0,COUNTIF($AN$11:AN44,"&gt;0"),"")</f>
        <v>0</v>
      </c>
      <c r="AQ44">
        <v>34</v>
      </c>
      <c r="AR44">
        <f>IF(AQ44&gt;$AZ$36,"",INDEX($AM$11:$AM$160,MATCH(AQ44,$AP$11:$AP$160,0)))</f>
        <v>0</v>
      </c>
      <c r="AS44">
        <f>IF(AQ44&gt;$AZ$36,"",INDEX($AO$11:$AO$160,MATCH(AQ44,$AP$11:$AP$160,0)))</f>
        <v>0</v>
      </c>
    </row>
    <row r="45" spans="39:52">
      <c r="AM45">
        <f>IF(Markets!$A$39="","",Markets!$A$39)</f>
        <v>0</v>
      </c>
      <c r="AN45">
        <f>IF(AM45="",0,COUNTIFS(Journal!$C$11:$C$15,AM45,$K$11:$K$15,TRUE))</f>
        <v>0</v>
      </c>
      <c r="AO45">
        <f>IF(AN45=0,0,SUMIF(Journal!$C$11:$C$15,AM45,$V$11:$V$15))</f>
        <v>0</v>
      </c>
      <c r="AP45">
        <f>IF(AN45&gt;0,COUNTIF($AN$11:AN45,"&gt;0"),"")</f>
        <v>0</v>
      </c>
      <c r="AQ45">
        <v>35</v>
      </c>
      <c r="AR45">
        <f>IF(AQ45&gt;$AZ$36,"",INDEX($AM$11:$AM$160,MATCH(AQ45,$AP$11:$AP$160,0)))</f>
        <v>0</v>
      </c>
      <c r="AS45">
        <f>IF(AQ45&gt;$AZ$36,"",INDEX($AO$11:$AO$160,MATCH(AQ45,$AP$11:$AP$160,0)))</f>
        <v>0</v>
      </c>
    </row>
    <row r="46" spans="39:52">
      <c r="AM46">
        <f>IF(Markets!$A$40="","",Markets!$A$40)</f>
        <v>0</v>
      </c>
      <c r="AN46">
        <f>IF(AM46="",0,COUNTIFS(Journal!$C$11:$C$15,AM46,$K$11:$K$15,TRUE))</f>
        <v>0</v>
      </c>
      <c r="AO46">
        <f>IF(AN46=0,0,SUMIF(Journal!$C$11:$C$15,AM46,$V$11:$V$15))</f>
        <v>0</v>
      </c>
      <c r="AP46">
        <f>IF(AN46&gt;0,COUNTIF($AN$11:AN46,"&gt;0"),"")</f>
        <v>0</v>
      </c>
      <c r="AQ46">
        <v>36</v>
      </c>
      <c r="AR46">
        <f>IF(AQ46&gt;$AZ$36,"",INDEX($AM$11:$AM$160,MATCH(AQ46,$AP$11:$AP$160,0)))</f>
        <v>0</v>
      </c>
      <c r="AS46">
        <f>IF(AQ46&gt;$AZ$36,"",INDEX($AO$11:$AO$160,MATCH(AQ46,$AP$11:$AP$160,0)))</f>
        <v>0</v>
      </c>
    </row>
    <row r="47" spans="39:52">
      <c r="AM47">
        <f>IF(Markets!$A$41="","",Markets!$A$41)</f>
        <v>0</v>
      </c>
      <c r="AN47">
        <f>IF(AM47="",0,COUNTIFS(Journal!$C$11:$C$15,AM47,$K$11:$K$15,TRUE))</f>
        <v>0</v>
      </c>
      <c r="AO47">
        <f>IF(AN47=0,0,SUMIF(Journal!$C$11:$C$15,AM47,$V$11:$V$15))</f>
        <v>0</v>
      </c>
      <c r="AP47">
        <f>IF(AN47&gt;0,COUNTIF($AN$11:AN47,"&gt;0"),"")</f>
        <v>0</v>
      </c>
      <c r="AQ47">
        <v>37</v>
      </c>
      <c r="AR47">
        <f>IF(AQ47&gt;$AZ$36,"",INDEX($AM$11:$AM$160,MATCH(AQ47,$AP$11:$AP$160,0)))</f>
        <v>0</v>
      </c>
      <c r="AS47">
        <f>IF(AQ47&gt;$AZ$36,"",INDEX($AO$11:$AO$160,MATCH(AQ47,$AP$11:$AP$160,0)))</f>
        <v>0</v>
      </c>
    </row>
    <row r="48" spans="39:52">
      <c r="AM48">
        <f>IF(Markets!$A$42="","",Markets!$A$42)</f>
        <v>0</v>
      </c>
      <c r="AN48">
        <f>IF(AM48="",0,COUNTIFS(Journal!$C$11:$C$15,AM48,$K$11:$K$15,TRUE))</f>
        <v>0</v>
      </c>
      <c r="AO48">
        <f>IF(AN48=0,0,SUMIF(Journal!$C$11:$C$15,AM48,$V$11:$V$15))</f>
        <v>0</v>
      </c>
      <c r="AP48">
        <f>IF(AN48&gt;0,COUNTIF($AN$11:AN48,"&gt;0"),"")</f>
        <v>0</v>
      </c>
      <c r="AQ48">
        <v>38</v>
      </c>
      <c r="AR48">
        <f>IF(AQ48&gt;$AZ$36,"",INDEX($AM$11:$AM$160,MATCH(AQ48,$AP$11:$AP$160,0)))</f>
        <v>0</v>
      </c>
      <c r="AS48">
        <f>IF(AQ48&gt;$AZ$36,"",INDEX($AO$11:$AO$160,MATCH(AQ48,$AP$11:$AP$160,0)))</f>
        <v>0</v>
      </c>
    </row>
    <row r="49" spans="39:45">
      <c r="AM49">
        <f>IF(Markets!$A$43="","",Markets!$A$43)</f>
        <v>0</v>
      </c>
      <c r="AN49">
        <f>IF(AM49="",0,COUNTIFS(Journal!$C$11:$C$15,AM49,$K$11:$K$15,TRUE))</f>
        <v>0</v>
      </c>
      <c r="AO49">
        <f>IF(AN49=0,0,SUMIF(Journal!$C$11:$C$15,AM49,$V$11:$V$15))</f>
        <v>0</v>
      </c>
      <c r="AP49">
        <f>IF(AN49&gt;0,COUNTIF($AN$11:AN49,"&gt;0"),"")</f>
        <v>0</v>
      </c>
      <c r="AQ49">
        <v>39</v>
      </c>
      <c r="AR49">
        <f>IF(AQ49&gt;$AZ$36,"",INDEX($AM$11:$AM$160,MATCH(AQ49,$AP$11:$AP$160,0)))</f>
        <v>0</v>
      </c>
      <c r="AS49">
        <f>IF(AQ49&gt;$AZ$36,"",INDEX($AO$11:$AO$160,MATCH(AQ49,$AP$11:$AP$160,0)))</f>
        <v>0</v>
      </c>
    </row>
    <row r="50" spans="39:45">
      <c r="AM50">
        <f>IF(Markets!$A$44="","",Markets!$A$44)</f>
        <v>0</v>
      </c>
      <c r="AN50">
        <f>IF(AM50="",0,COUNTIFS(Journal!$C$11:$C$15,AM50,$K$11:$K$15,TRUE))</f>
        <v>0</v>
      </c>
      <c r="AO50">
        <f>IF(AN50=0,0,SUMIF(Journal!$C$11:$C$15,AM50,$V$11:$V$15))</f>
        <v>0</v>
      </c>
      <c r="AP50">
        <f>IF(AN50&gt;0,COUNTIF($AN$11:AN50,"&gt;0"),"")</f>
        <v>0</v>
      </c>
      <c r="AQ50">
        <v>40</v>
      </c>
      <c r="AR50">
        <f>IF(AQ50&gt;$AZ$36,"",INDEX($AM$11:$AM$160,MATCH(AQ50,$AP$11:$AP$160,0)))</f>
        <v>0</v>
      </c>
      <c r="AS50">
        <f>IF(AQ50&gt;$AZ$36,"",INDEX($AO$11:$AO$160,MATCH(AQ50,$AP$11:$AP$160,0)))</f>
        <v>0</v>
      </c>
    </row>
    <row r="51" spans="39:45">
      <c r="AM51">
        <f>IF(Markets!$A$45="","",Markets!$A$45)</f>
        <v>0</v>
      </c>
      <c r="AN51">
        <f>IF(AM51="",0,COUNTIFS(Journal!$C$11:$C$15,AM51,$K$11:$K$15,TRUE))</f>
        <v>0</v>
      </c>
      <c r="AO51">
        <f>IF(AN51=0,0,SUMIF(Journal!$C$11:$C$15,AM51,$V$11:$V$15))</f>
        <v>0</v>
      </c>
      <c r="AP51">
        <f>IF(AN51&gt;0,COUNTIF($AN$11:AN51,"&gt;0"),"")</f>
        <v>0</v>
      </c>
      <c r="AQ51">
        <v>41</v>
      </c>
      <c r="AR51">
        <f>IF(AQ51&gt;$AZ$36,"",INDEX($AM$11:$AM$160,MATCH(AQ51,$AP$11:$AP$160,0)))</f>
        <v>0</v>
      </c>
      <c r="AS51">
        <f>IF(AQ51&gt;$AZ$36,"",INDEX($AO$11:$AO$160,MATCH(AQ51,$AP$11:$AP$160,0)))</f>
        <v>0</v>
      </c>
    </row>
    <row r="52" spans="39:45">
      <c r="AM52">
        <f>IF(Markets!$A$46="","",Markets!$A$46)</f>
        <v>0</v>
      </c>
      <c r="AN52">
        <f>IF(AM52="",0,COUNTIFS(Journal!$C$11:$C$15,AM52,$K$11:$K$15,TRUE))</f>
        <v>0</v>
      </c>
      <c r="AO52">
        <f>IF(AN52=0,0,SUMIF(Journal!$C$11:$C$15,AM52,$V$11:$V$15))</f>
        <v>0</v>
      </c>
      <c r="AP52">
        <f>IF(AN52&gt;0,COUNTIF($AN$11:AN52,"&gt;0"),"")</f>
        <v>0</v>
      </c>
      <c r="AQ52">
        <v>42</v>
      </c>
      <c r="AR52">
        <f>IF(AQ52&gt;$AZ$36,"",INDEX($AM$11:$AM$160,MATCH(AQ52,$AP$11:$AP$160,0)))</f>
        <v>0</v>
      </c>
      <c r="AS52">
        <f>IF(AQ52&gt;$AZ$36,"",INDEX($AO$11:$AO$160,MATCH(AQ52,$AP$11:$AP$160,0)))</f>
        <v>0</v>
      </c>
    </row>
    <row r="53" spans="39:45">
      <c r="AM53">
        <f>IF(Markets!$A$47="","",Markets!$A$47)</f>
        <v>0</v>
      </c>
      <c r="AN53">
        <f>IF(AM53="",0,COUNTIFS(Journal!$C$11:$C$15,AM53,$K$11:$K$15,TRUE))</f>
        <v>0</v>
      </c>
      <c r="AO53">
        <f>IF(AN53=0,0,SUMIF(Journal!$C$11:$C$15,AM53,$V$11:$V$15))</f>
        <v>0</v>
      </c>
      <c r="AP53">
        <f>IF(AN53&gt;0,COUNTIF($AN$11:AN53,"&gt;0"),"")</f>
        <v>0</v>
      </c>
      <c r="AQ53">
        <v>43</v>
      </c>
      <c r="AR53">
        <f>IF(AQ53&gt;$AZ$36,"",INDEX($AM$11:$AM$160,MATCH(AQ53,$AP$11:$AP$160,0)))</f>
        <v>0</v>
      </c>
      <c r="AS53">
        <f>IF(AQ53&gt;$AZ$36,"",INDEX($AO$11:$AO$160,MATCH(AQ53,$AP$11:$AP$160,0)))</f>
        <v>0</v>
      </c>
    </row>
    <row r="54" spans="39:45">
      <c r="AM54">
        <f>IF(Markets!$A$48="","",Markets!$A$48)</f>
        <v>0</v>
      </c>
      <c r="AN54">
        <f>IF(AM54="",0,COUNTIFS(Journal!$C$11:$C$15,AM54,$K$11:$K$15,TRUE))</f>
        <v>0</v>
      </c>
      <c r="AO54">
        <f>IF(AN54=0,0,SUMIF(Journal!$C$11:$C$15,AM54,$V$11:$V$15))</f>
        <v>0</v>
      </c>
      <c r="AP54">
        <f>IF(AN54&gt;0,COUNTIF($AN$11:AN54,"&gt;0"),"")</f>
        <v>0</v>
      </c>
      <c r="AQ54">
        <v>44</v>
      </c>
      <c r="AR54">
        <f>IF(AQ54&gt;$AZ$36,"",INDEX($AM$11:$AM$160,MATCH(AQ54,$AP$11:$AP$160,0)))</f>
        <v>0</v>
      </c>
      <c r="AS54">
        <f>IF(AQ54&gt;$AZ$36,"",INDEX($AO$11:$AO$160,MATCH(AQ54,$AP$11:$AP$160,0)))</f>
        <v>0</v>
      </c>
    </row>
    <row r="55" spans="39:45">
      <c r="AM55">
        <f>IF(Markets!$A$49="","",Markets!$A$49)</f>
        <v>0</v>
      </c>
      <c r="AN55">
        <f>IF(AM55="",0,COUNTIFS(Journal!$C$11:$C$15,AM55,$K$11:$K$15,TRUE))</f>
        <v>0</v>
      </c>
      <c r="AO55">
        <f>IF(AN55=0,0,SUMIF(Journal!$C$11:$C$15,AM55,$V$11:$V$15))</f>
        <v>0</v>
      </c>
      <c r="AP55">
        <f>IF(AN55&gt;0,COUNTIF($AN$11:AN55,"&gt;0"),"")</f>
        <v>0</v>
      </c>
      <c r="AQ55">
        <v>45</v>
      </c>
      <c r="AR55">
        <f>IF(AQ55&gt;$AZ$36,"",INDEX($AM$11:$AM$160,MATCH(AQ55,$AP$11:$AP$160,0)))</f>
        <v>0</v>
      </c>
      <c r="AS55">
        <f>IF(AQ55&gt;$AZ$36,"",INDEX($AO$11:$AO$160,MATCH(AQ55,$AP$11:$AP$160,0)))</f>
        <v>0</v>
      </c>
    </row>
    <row r="56" spans="39:45">
      <c r="AM56">
        <f>IF(Markets!$A$50="","",Markets!$A$50)</f>
        <v>0</v>
      </c>
      <c r="AN56">
        <f>IF(AM56="",0,COUNTIFS(Journal!$C$11:$C$15,AM56,$K$11:$K$15,TRUE))</f>
        <v>0</v>
      </c>
      <c r="AO56">
        <f>IF(AN56=0,0,SUMIF(Journal!$C$11:$C$15,AM56,$V$11:$V$15))</f>
        <v>0</v>
      </c>
      <c r="AP56">
        <f>IF(AN56&gt;0,COUNTIF($AN$11:AN56,"&gt;0"),"")</f>
        <v>0</v>
      </c>
      <c r="AQ56">
        <v>46</v>
      </c>
      <c r="AR56">
        <f>IF(AQ56&gt;$AZ$36,"",INDEX($AM$11:$AM$160,MATCH(AQ56,$AP$11:$AP$160,0)))</f>
        <v>0</v>
      </c>
      <c r="AS56">
        <f>IF(AQ56&gt;$AZ$36,"",INDEX($AO$11:$AO$160,MATCH(AQ56,$AP$11:$AP$160,0)))</f>
        <v>0</v>
      </c>
    </row>
    <row r="57" spans="39:45">
      <c r="AM57">
        <f>IF(Markets!$A$51="","",Markets!$A$51)</f>
        <v>0</v>
      </c>
      <c r="AN57">
        <f>IF(AM57="",0,COUNTIFS(Journal!$C$11:$C$15,AM57,$K$11:$K$15,TRUE))</f>
        <v>0</v>
      </c>
      <c r="AO57">
        <f>IF(AN57=0,0,SUMIF(Journal!$C$11:$C$15,AM57,$V$11:$V$15))</f>
        <v>0</v>
      </c>
      <c r="AP57">
        <f>IF(AN57&gt;0,COUNTIF($AN$11:AN57,"&gt;0"),"")</f>
        <v>0</v>
      </c>
      <c r="AQ57">
        <v>47</v>
      </c>
      <c r="AR57">
        <f>IF(AQ57&gt;$AZ$36,"",INDEX($AM$11:$AM$160,MATCH(AQ57,$AP$11:$AP$160,0)))</f>
        <v>0</v>
      </c>
      <c r="AS57">
        <f>IF(AQ57&gt;$AZ$36,"",INDEX($AO$11:$AO$160,MATCH(AQ57,$AP$11:$AP$160,0)))</f>
        <v>0</v>
      </c>
    </row>
    <row r="58" spans="39:45">
      <c r="AM58">
        <f>IF(Markets!$A$52="","",Markets!$A$52)</f>
        <v>0</v>
      </c>
      <c r="AN58">
        <f>IF(AM58="",0,COUNTIFS(Journal!$C$11:$C$15,AM58,$K$11:$K$15,TRUE))</f>
        <v>0</v>
      </c>
      <c r="AO58">
        <f>IF(AN58=0,0,SUMIF(Journal!$C$11:$C$15,AM58,$V$11:$V$15))</f>
        <v>0</v>
      </c>
      <c r="AP58">
        <f>IF(AN58&gt;0,COUNTIF($AN$11:AN58,"&gt;0"),"")</f>
        <v>0</v>
      </c>
      <c r="AQ58">
        <v>48</v>
      </c>
      <c r="AR58">
        <f>IF(AQ58&gt;$AZ$36,"",INDEX($AM$11:$AM$160,MATCH(AQ58,$AP$11:$AP$160,0)))</f>
        <v>0</v>
      </c>
      <c r="AS58">
        <f>IF(AQ58&gt;$AZ$36,"",INDEX($AO$11:$AO$160,MATCH(AQ58,$AP$11:$AP$160,0)))</f>
        <v>0</v>
      </c>
    </row>
    <row r="59" spans="39:45">
      <c r="AM59">
        <f>IF(Markets!$A$53="","",Markets!$A$53)</f>
        <v>0</v>
      </c>
      <c r="AN59">
        <f>IF(AM59="",0,COUNTIFS(Journal!$C$11:$C$15,AM59,$K$11:$K$15,TRUE))</f>
        <v>0</v>
      </c>
      <c r="AO59">
        <f>IF(AN59=0,0,SUMIF(Journal!$C$11:$C$15,AM59,$V$11:$V$15))</f>
        <v>0</v>
      </c>
      <c r="AP59">
        <f>IF(AN59&gt;0,COUNTIF($AN$11:AN59,"&gt;0"),"")</f>
        <v>0</v>
      </c>
      <c r="AQ59">
        <v>49</v>
      </c>
      <c r="AR59">
        <f>IF(AQ59&gt;$AZ$36,"",INDEX($AM$11:$AM$160,MATCH(AQ59,$AP$11:$AP$160,0)))</f>
        <v>0</v>
      </c>
      <c r="AS59">
        <f>IF(AQ59&gt;$AZ$36,"",INDEX($AO$11:$AO$160,MATCH(AQ59,$AP$11:$AP$160,0)))</f>
        <v>0</v>
      </c>
    </row>
    <row r="60" spans="39:45">
      <c r="AM60">
        <f>IF(Markets!$A$54="","",Markets!$A$54)</f>
        <v>0</v>
      </c>
      <c r="AN60">
        <f>IF(AM60="",0,COUNTIFS(Journal!$C$11:$C$15,AM60,$K$11:$K$15,TRUE))</f>
        <v>0</v>
      </c>
      <c r="AO60">
        <f>IF(AN60=0,0,SUMIF(Journal!$C$11:$C$15,AM60,$V$11:$V$15))</f>
        <v>0</v>
      </c>
      <c r="AP60">
        <f>IF(AN60&gt;0,COUNTIF($AN$11:AN60,"&gt;0"),"")</f>
        <v>0</v>
      </c>
      <c r="AQ60">
        <v>50</v>
      </c>
      <c r="AR60">
        <f>IF(AQ60&gt;$AZ$36,"",INDEX($AM$11:$AM$160,MATCH(AQ60,$AP$11:$AP$160,0)))</f>
        <v>0</v>
      </c>
      <c r="AS60">
        <f>IF(AQ60&gt;$AZ$36,"",INDEX($AO$11:$AO$160,MATCH(AQ60,$AP$11:$AP$160,0)))</f>
        <v>0</v>
      </c>
    </row>
    <row r="61" spans="39:45">
      <c r="AM61">
        <f>IF(Markets!$A$55="","",Markets!$A$55)</f>
        <v>0</v>
      </c>
      <c r="AN61">
        <f>IF(AM61="",0,COUNTIFS(Journal!$C$11:$C$15,AM61,$K$11:$K$15,TRUE))</f>
        <v>0</v>
      </c>
      <c r="AO61">
        <f>IF(AN61=0,0,SUMIF(Journal!$C$11:$C$15,AM61,$V$11:$V$15))</f>
        <v>0</v>
      </c>
      <c r="AP61">
        <f>IF(AN61&gt;0,COUNTIF($AN$11:AN61,"&gt;0"),"")</f>
        <v>0</v>
      </c>
      <c r="AQ61">
        <v>51</v>
      </c>
      <c r="AR61">
        <f>IF(AQ61&gt;$AZ$36,"",INDEX($AM$11:$AM$160,MATCH(AQ61,$AP$11:$AP$160,0)))</f>
        <v>0</v>
      </c>
      <c r="AS61">
        <f>IF(AQ61&gt;$AZ$36,"",INDEX($AO$11:$AO$160,MATCH(AQ61,$AP$11:$AP$160,0)))</f>
        <v>0</v>
      </c>
    </row>
    <row r="62" spans="39:45">
      <c r="AM62">
        <f>IF(Markets!$A$56="","",Markets!$A$56)</f>
        <v>0</v>
      </c>
      <c r="AN62">
        <f>IF(AM62="",0,COUNTIFS(Journal!$C$11:$C$15,AM62,$K$11:$K$15,TRUE))</f>
        <v>0</v>
      </c>
      <c r="AO62">
        <f>IF(AN62=0,0,SUMIF(Journal!$C$11:$C$15,AM62,$V$11:$V$15))</f>
        <v>0</v>
      </c>
      <c r="AP62">
        <f>IF(AN62&gt;0,COUNTIF($AN$11:AN62,"&gt;0"),"")</f>
        <v>0</v>
      </c>
      <c r="AQ62">
        <v>52</v>
      </c>
      <c r="AR62">
        <f>IF(AQ62&gt;$AZ$36,"",INDEX($AM$11:$AM$160,MATCH(AQ62,$AP$11:$AP$160,0)))</f>
        <v>0</v>
      </c>
      <c r="AS62">
        <f>IF(AQ62&gt;$AZ$36,"",INDEX($AO$11:$AO$160,MATCH(AQ62,$AP$11:$AP$160,0)))</f>
        <v>0</v>
      </c>
    </row>
    <row r="63" spans="39:45">
      <c r="AM63">
        <f>IF(Markets!$A$57="","",Markets!$A$57)</f>
        <v>0</v>
      </c>
      <c r="AN63">
        <f>IF(AM63="",0,COUNTIFS(Journal!$C$11:$C$15,AM63,$K$11:$K$15,TRUE))</f>
        <v>0</v>
      </c>
      <c r="AO63">
        <f>IF(AN63=0,0,SUMIF(Journal!$C$11:$C$15,AM63,$V$11:$V$15))</f>
        <v>0</v>
      </c>
      <c r="AP63">
        <f>IF(AN63&gt;0,COUNTIF($AN$11:AN63,"&gt;0"),"")</f>
        <v>0</v>
      </c>
      <c r="AQ63">
        <v>53</v>
      </c>
      <c r="AR63">
        <f>IF(AQ63&gt;$AZ$36,"",INDEX($AM$11:$AM$160,MATCH(AQ63,$AP$11:$AP$160,0)))</f>
        <v>0</v>
      </c>
      <c r="AS63">
        <f>IF(AQ63&gt;$AZ$36,"",INDEX($AO$11:$AO$160,MATCH(AQ63,$AP$11:$AP$160,0)))</f>
        <v>0</v>
      </c>
    </row>
    <row r="64" spans="39:45">
      <c r="AM64">
        <f>IF(Markets!$A$58="","",Markets!$A$58)</f>
        <v>0</v>
      </c>
      <c r="AN64">
        <f>IF(AM64="",0,COUNTIFS(Journal!$C$11:$C$15,AM64,$K$11:$K$15,TRUE))</f>
        <v>0</v>
      </c>
      <c r="AO64">
        <f>IF(AN64=0,0,SUMIF(Journal!$C$11:$C$15,AM64,$V$11:$V$15))</f>
        <v>0</v>
      </c>
      <c r="AP64">
        <f>IF(AN64&gt;0,COUNTIF($AN$11:AN64,"&gt;0"),"")</f>
        <v>0</v>
      </c>
      <c r="AQ64">
        <v>54</v>
      </c>
      <c r="AR64">
        <f>IF(AQ64&gt;$AZ$36,"",INDEX($AM$11:$AM$160,MATCH(AQ64,$AP$11:$AP$160,0)))</f>
        <v>0</v>
      </c>
      <c r="AS64">
        <f>IF(AQ64&gt;$AZ$36,"",INDEX($AO$11:$AO$160,MATCH(AQ64,$AP$11:$AP$160,0)))</f>
        <v>0</v>
      </c>
    </row>
    <row r="65" spans="39:45">
      <c r="AM65">
        <f>IF(Markets!$A$59="","",Markets!$A$59)</f>
        <v>0</v>
      </c>
      <c r="AN65">
        <f>IF(AM65="",0,COUNTIFS(Journal!$C$11:$C$15,AM65,$K$11:$K$15,TRUE))</f>
        <v>0</v>
      </c>
      <c r="AO65">
        <f>IF(AN65=0,0,SUMIF(Journal!$C$11:$C$15,AM65,$V$11:$V$15))</f>
        <v>0</v>
      </c>
      <c r="AP65">
        <f>IF(AN65&gt;0,COUNTIF($AN$11:AN65,"&gt;0"),"")</f>
        <v>0</v>
      </c>
      <c r="AQ65">
        <v>55</v>
      </c>
      <c r="AR65">
        <f>IF(AQ65&gt;$AZ$36,"",INDEX($AM$11:$AM$160,MATCH(AQ65,$AP$11:$AP$160,0)))</f>
        <v>0</v>
      </c>
      <c r="AS65">
        <f>IF(AQ65&gt;$AZ$36,"",INDEX($AO$11:$AO$160,MATCH(AQ65,$AP$11:$AP$160,0)))</f>
        <v>0</v>
      </c>
    </row>
    <row r="66" spans="39:45">
      <c r="AM66">
        <f>IF(Markets!$A$60="","",Markets!$A$60)</f>
        <v>0</v>
      </c>
      <c r="AN66">
        <f>IF(AM66="",0,COUNTIFS(Journal!$C$11:$C$15,AM66,$K$11:$K$15,TRUE))</f>
        <v>0</v>
      </c>
      <c r="AO66">
        <f>IF(AN66=0,0,SUMIF(Journal!$C$11:$C$15,AM66,$V$11:$V$15))</f>
        <v>0</v>
      </c>
      <c r="AP66">
        <f>IF(AN66&gt;0,COUNTIF($AN$11:AN66,"&gt;0"),"")</f>
        <v>0</v>
      </c>
      <c r="AQ66">
        <v>56</v>
      </c>
      <c r="AR66">
        <f>IF(AQ66&gt;$AZ$36,"",INDEX($AM$11:$AM$160,MATCH(AQ66,$AP$11:$AP$160,0)))</f>
        <v>0</v>
      </c>
      <c r="AS66">
        <f>IF(AQ66&gt;$AZ$36,"",INDEX($AO$11:$AO$160,MATCH(AQ66,$AP$11:$AP$160,0)))</f>
        <v>0</v>
      </c>
    </row>
    <row r="67" spans="39:45">
      <c r="AM67">
        <f>IF(Markets!$A$61="","",Markets!$A$61)</f>
        <v>0</v>
      </c>
      <c r="AN67">
        <f>IF(AM67="",0,COUNTIFS(Journal!$C$11:$C$15,AM67,$K$11:$K$15,TRUE))</f>
        <v>0</v>
      </c>
      <c r="AO67">
        <f>IF(AN67=0,0,SUMIF(Journal!$C$11:$C$15,AM67,$V$11:$V$15))</f>
        <v>0</v>
      </c>
      <c r="AP67">
        <f>IF(AN67&gt;0,COUNTIF($AN$11:AN67,"&gt;0"),"")</f>
        <v>0</v>
      </c>
      <c r="AQ67">
        <v>57</v>
      </c>
      <c r="AR67">
        <f>IF(AQ67&gt;$AZ$36,"",INDEX($AM$11:$AM$160,MATCH(AQ67,$AP$11:$AP$160,0)))</f>
        <v>0</v>
      </c>
      <c r="AS67">
        <f>IF(AQ67&gt;$AZ$36,"",INDEX($AO$11:$AO$160,MATCH(AQ67,$AP$11:$AP$160,0)))</f>
        <v>0</v>
      </c>
    </row>
    <row r="68" spans="39:45">
      <c r="AM68">
        <f>IF(Markets!$A$62="","",Markets!$A$62)</f>
        <v>0</v>
      </c>
      <c r="AN68">
        <f>IF(AM68="",0,COUNTIFS(Journal!$C$11:$C$15,AM68,$K$11:$K$15,TRUE))</f>
        <v>0</v>
      </c>
      <c r="AO68">
        <f>IF(AN68=0,0,SUMIF(Journal!$C$11:$C$15,AM68,$V$11:$V$15))</f>
        <v>0</v>
      </c>
      <c r="AP68">
        <f>IF(AN68&gt;0,COUNTIF($AN$11:AN68,"&gt;0"),"")</f>
        <v>0</v>
      </c>
      <c r="AQ68">
        <v>58</v>
      </c>
      <c r="AR68">
        <f>IF(AQ68&gt;$AZ$36,"",INDEX($AM$11:$AM$160,MATCH(AQ68,$AP$11:$AP$160,0)))</f>
        <v>0</v>
      </c>
      <c r="AS68">
        <f>IF(AQ68&gt;$AZ$36,"",INDEX($AO$11:$AO$160,MATCH(AQ68,$AP$11:$AP$160,0)))</f>
        <v>0</v>
      </c>
    </row>
    <row r="69" spans="39:45">
      <c r="AM69">
        <f>IF(Markets!$A$63="","",Markets!$A$63)</f>
        <v>0</v>
      </c>
      <c r="AN69">
        <f>IF(AM69="",0,COUNTIFS(Journal!$C$11:$C$15,AM69,$K$11:$K$15,TRUE))</f>
        <v>0</v>
      </c>
      <c r="AO69">
        <f>IF(AN69=0,0,SUMIF(Journal!$C$11:$C$15,AM69,$V$11:$V$15))</f>
        <v>0</v>
      </c>
      <c r="AP69">
        <f>IF(AN69&gt;0,COUNTIF($AN$11:AN69,"&gt;0"),"")</f>
        <v>0</v>
      </c>
      <c r="AQ69">
        <v>59</v>
      </c>
      <c r="AR69">
        <f>IF(AQ69&gt;$AZ$36,"",INDEX($AM$11:$AM$160,MATCH(AQ69,$AP$11:$AP$160,0)))</f>
        <v>0</v>
      </c>
      <c r="AS69">
        <f>IF(AQ69&gt;$AZ$36,"",INDEX($AO$11:$AO$160,MATCH(AQ69,$AP$11:$AP$160,0)))</f>
        <v>0</v>
      </c>
    </row>
    <row r="70" spans="39:45">
      <c r="AM70">
        <f>IF(Markets!$A$64="","",Markets!$A$64)</f>
        <v>0</v>
      </c>
      <c r="AN70">
        <f>IF(AM70="",0,COUNTIFS(Journal!$C$11:$C$15,AM70,$K$11:$K$15,TRUE))</f>
        <v>0</v>
      </c>
      <c r="AO70">
        <f>IF(AN70=0,0,SUMIF(Journal!$C$11:$C$15,AM70,$V$11:$V$15))</f>
        <v>0</v>
      </c>
      <c r="AP70">
        <f>IF(AN70&gt;0,COUNTIF($AN$11:AN70,"&gt;0"),"")</f>
        <v>0</v>
      </c>
      <c r="AQ70">
        <v>60</v>
      </c>
      <c r="AR70">
        <f>IF(AQ70&gt;$AZ$36,"",INDEX($AM$11:$AM$160,MATCH(AQ70,$AP$11:$AP$160,0)))</f>
        <v>0</v>
      </c>
      <c r="AS70">
        <f>IF(AQ70&gt;$AZ$36,"",INDEX($AO$11:$AO$160,MATCH(AQ70,$AP$11:$AP$160,0)))</f>
        <v>0</v>
      </c>
    </row>
    <row r="71" spans="39:45">
      <c r="AM71">
        <f>IF(Markets!$A$65="","",Markets!$A$65)</f>
        <v>0</v>
      </c>
      <c r="AN71">
        <f>IF(AM71="",0,COUNTIFS(Journal!$C$11:$C$15,AM71,$K$11:$K$15,TRUE))</f>
        <v>0</v>
      </c>
      <c r="AO71">
        <f>IF(AN71=0,0,SUMIF(Journal!$C$11:$C$15,AM71,$V$11:$V$15))</f>
        <v>0</v>
      </c>
      <c r="AP71">
        <f>IF(AN71&gt;0,COUNTIF($AN$11:AN71,"&gt;0"),"")</f>
        <v>0</v>
      </c>
      <c r="AQ71">
        <v>61</v>
      </c>
      <c r="AR71">
        <f>IF(AQ71&gt;$AZ$36,"",INDEX($AM$11:$AM$160,MATCH(AQ71,$AP$11:$AP$160,0)))</f>
        <v>0</v>
      </c>
      <c r="AS71">
        <f>IF(AQ71&gt;$AZ$36,"",INDEX($AO$11:$AO$160,MATCH(AQ71,$AP$11:$AP$160,0)))</f>
        <v>0</v>
      </c>
    </row>
    <row r="72" spans="39:45">
      <c r="AM72">
        <f>IF(Markets!$A$66="","",Markets!$A$66)</f>
        <v>0</v>
      </c>
      <c r="AN72">
        <f>IF(AM72="",0,COUNTIFS(Journal!$C$11:$C$15,AM72,$K$11:$K$15,TRUE))</f>
        <v>0</v>
      </c>
      <c r="AO72">
        <f>IF(AN72=0,0,SUMIF(Journal!$C$11:$C$15,AM72,$V$11:$V$15))</f>
        <v>0</v>
      </c>
      <c r="AP72">
        <f>IF(AN72&gt;0,COUNTIF($AN$11:AN72,"&gt;0"),"")</f>
        <v>0</v>
      </c>
      <c r="AQ72">
        <v>62</v>
      </c>
      <c r="AR72">
        <f>IF(AQ72&gt;$AZ$36,"",INDEX($AM$11:$AM$160,MATCH(AQ72,$AP$11:$AP$160,0)))</f>
        <v>0</v>
      </c>
      <c r="AS72">
        <f>IF(AQ72&gt;$AZ$36,"",INDEX($AO$11:$AO$160,MATCH(AQ72,$AP$11:$AP$160,0)))</f>
        <v>0</v>
      </c>
    </row>
    <row r="73" spans="39:45">
      <c r="AM73">
        <f>IF(Markets!$A$67="","",Markets!$A$67)</f>
        <v>0</v>
      </c>
      <c r="AN73">
        <f>IF(AM73="",0,COUNTIFS(Journal!$C$11:$C$15,AM73,$K$11:$K$15,TRUE))</f>
        <v>0</v>
      </c>
      <c r="AO73">
        <f>IF(AN73=0,0,SUMIF(Journal!$C$11:$C$15,AM73,$V$11:$V$15))</f>
        <v>0</v>
      </c>
      <c r="AP73">
        <f>IF(AN73&gt;0,COUNTIF($AN$11:AN73,"&gt;0"),"")</f>
        <v>0</v>
      </c>
      <c r="AQ73">
        <v>63</v>
      </c>
      <c r="AR73">
        <f>IF(AQ73&gt;$AZ$36,"",INDEX($AM$11:$AM$160,MATCH(AQ73,$AP$11:$AP$160,0)))</f>
        <v>0</v>
      </c>
      <c r="AS73">
        <f>IF(AQ73&gt;$AZ$36,"",INDEX($AO$11:$AO$160,MATCH(AQ73,$AP$11:$AP$160,0)))</f>
        <v>0</v>
      </c>
    </row>
    <row r="74" spans="39:45">
      <c r="AM74">
        <f>IF(Markets!$A$68="","",Markets!$A$68)</f>
        <v>0</v>
      </c>
      <c r="AN74">
        <f>IF(AM74="",0,COUNTIFS(Journal!$C$11:$C$15,AM74,$K$11:$K$15,TRUE))</f>
        <v>0</v>
      </c>
      <c r="AO74">
        <f>IF(AN74=0,0,SUMIF(Journal!$C$11:$C$15,AM74,$V$11:$V$15))</f>
        <v>0</v>
      </c>
      <c r="AP74">
        <f>IF(AN74&gt;0,COUNTIF($AN$11:AN74,"&gt;0"),"")</f>
        <v>0</v>
      </c>
      <c r="AQ74">
        <v>64</v>
      </c>
      <c r="AR74">
        <f>IF(AQ74&gt;$AZ$36,"",INDEX($AM$11:$AM$160,MATCH(AQ74,$AP$11:$AP$160,0)))</f>
        <v>0</v>
      </c>
      <c r="AS74">
        <f>IF(AQ74&gt;$AZ$36,"",INDEX($AO$11:$AO$160,MATCH(AQ74,$AP$11:$AP$160,0)))</f>
        <v>0</v>
      </c>
    </row>
    <row r="75" spans="39:45">
      <c r="AM75">
        <f>IF(Markets!$A$69="","",Markets!$A$69)</f>
        <v>0</v>
      </c>
      <c r="AN75">
        <f>IF(AM75="",0,COUNTIFS(Journal!$C$11:$C$15,AM75,$K$11:$K$15,TRUE))</f>
        <v>0</v>
      </c>
      <c r="AO75">
        <f>IF(AN75=0,0,SUMIF(Journal!$C$11:$C$15,AM75,$V$11:$V$15))</f>
        <v>0</v>
      </c>
      <c r="AP75">
        <f>IF(AN75&gt;0,COUNTIF($AN$11:AN75,"&gt;0"),"")</f>
        <v>0</v>
      </c>
      <c r="AQ75">
        <v>65</v>
      </c>
      <c r="AR75">
        <f>IF(AQ75&gt;$AZ$36,"",INDEX($AM$11:$AM$160,MATCH(AQ75,$AP$11:$AP$160,0)))</f>
        <v>0</v>
      </c>
      <c r="AS75">
        <f>IF(AQ75&gt;$AZ$36,"",INDEX($AO$11:$AO$160,MATCH(AQ75,$AP$11:$AP$160,0)))</f>
        <v>0</v>
      </c>
    </row>
    <row r="76" spans="39:45">
      <c r="AM76">
        <f>IF(Markets!$A$70="","",Markets!$A$70)</f>
        <v>0</v>
      </c>
      <c r="AN76">
        <f>IF(AM76="",0,COUNTIFS(Journal!$C$11:$C$15,AM76,$K$11:$K$15,TRUE))</f>
        <v>0</v>
      </c>
      <c r="AO76">
        <f>IF(AN76=0,0,SUMIF(Journal!$C$11:$C$15,AM76,$V$11:$V$15))</f>
        <v>0</v>
      </c>
      <c r="AP76">
        <f>IF(AN76&gt;0,COUNTIF($AN$11:AN76,"&gt;0"),"")</f>
        <v>0</v>
      </c>
      <c r="AQ76">
        <v>66</v>
      </c>
      <c r="AR76">
        <f>IF(AQ76&gt;$AZ$36,"",INDEX($AM$11:$AM$160,MATCH(AQ76,$AP$11:$AP$160,0)))</f>
        <v>0</v>
      </c>
      <c r="AS76">
        <f>IF(AQ76&gt;$AZ$36,"",INDEX($AO$11:$AO$160,MATCH(AQ76,$AP$11:$AP$160,0)))</f>
        <v>0</v>
      </c>
    </row>
    <row r="77" spans="39:45">
      <c r="AM77">
        <f>IF(Markets!$A$71="","",Markets!$A$71)</f>
        <v>0</v>
      </c>
      <c r="AN77">
        <f>IF(AM77="",0,COUNTIFS(Journal!$C$11:$C$15,AM77,$K$11:$K$15,TRUE))</f>
        <v>0</v>
      </c>
      <c r="AO77">
        <f>IF(AN77=0,0,SUMIF(Journal!$C$11:$C$15,AM77,$V$11:$V$15))</f>
        <v>0</v>
      </c>
      <c r="AP77">
        <f>IF(AN77&gt;0,COUNTIF($AN$11:AN77,"&gt;0"),"")</f>
        <v>0</v>
      </c>
      <c r="AQ77">
        <v>67</v>
      </c>
      <c r="AR77">
        <f>IF(AQ77&gt;$AZ$36,"",INDEX($AM$11:$AM$160,MATCH(AQ77,$AP$11:$AP$160,0)))</f>
        <v>0</v>
      </c>
      <c r="AS77">
        <f>IF(AQ77&gt;$AZ$36,"",INDEX($AO$11:$AO$160,MATCH(AQ77,$AP$11:$AP$160,0)))</f>
        <v>0</v>
      </c>
    </row>
    <row r="78" spans="39:45">
      <c r="AM78">
        <f>IF(Markets!$A$72="","",Markets!$A$72)</f>
        <v>0</v>
      </c>
      <c r="AN78">
        <f>IF(AM78="",0,COUNTIFS(Journal!$C$11:$C$15,AM78,$K$11:$K$15,TRUE))</f>
        <v>0</v>
      </c>
      <c r="AO78">
        <f>IF(AN78=0,0,SUMIF(Journal!$C$11:$C$15,AM78,$V$11:$V$15))</f>
        <v>0</v>
      </c>
      <c r="AP78">
        <f>IF(AN78&gt;0,COUNTIF($AN$11:AN78,"&gt;0"),"")</f>
        <v>0</v>
      </c>
      <c r="AQ78">
        <v>68</v>
      </c>
      <c r="AR78">
        <f>IF(AQ78&gt;$AZ$36,"",INDEX($AM$11:$AM$160,MATCH(AQ78,$AP$11:$AP$160,0)))</f>
        <v>0</v>
      </c>
      <c r="AS78">
        <f>IF(AQ78&gt;$AZ$36,"",INDEX($AO$11:$AO$160,MATCH(AQ78,$AP$11:$AP$160,0)))</f>
        <v>0</v>
      </c>
    </row>
    <row r="79" spans="39:45">
      <c r="AM79">
        <f>IF(Markets!$A$73="","",Markets!$A$73)</f>
        <v>0</v>
      </c>
      <c r="AN79">
        <f>IF(AM79="",0,COUNTIFS(Journal!$C$11:$C$15,AM79,$K$11:$K$15,TRUE))</f>
        <v>0</v>
      </c>
      <c r="AO79">
        <f>IF(AN79=0,0,SUMIF(Journal!$C$11:$C$15,AM79,$V$11:$V$15))</f>
        <v>0</v>
      </c>
      <c r="AP79">
        <f>IF(AN79&gt;0,COUNTIF($AN$11:AN79,"&gt;0"),"")</f>
        <v>0</v>
      </c>
      <c r="AQ79">
        <v>69</v>
      </c>
      <c r="AR79">
        <f>IF(AQ79&gt;$AZ$36,"",INDEX($AM$11:$AM$160,MATCH(AQ79,$AP$11:$AP$160,0)))</f>
        <v>0</v>
      </c>
      <c r="AS79">
        <f>IF(AQ79&gt;$AZ$36,"",INDEX($AO$11:$AO$160,MATCH(AQ79,$AP$11:$AP$160,0)))</f>
        <v>0</v>
      </c>
    </row>
    <row r="80" spans="39:45">
      <c r="AM80">
        <f>IF(Markets!$A$74="","",Markets!$A$74)</f>
        <v>0</v>
      </c>
      <c r="AN80">
        <f>IF(AM80="",0,COUNTIFS(Journal!$C$11:$C$15,AM80,$K$11:$K$15,TRUE))</f>
        <v>0</v>
      </c>
      <c r="AO80">
        <f>IF(AN80=0,0,SUMIF(Journal!$C$11:$C$15,AM80,$V$11:$V$15))</f>
        <v>0</v>
      </c>
      <c r="AP80">
        <f>IF(AN80&gt;0,COUNTIF($AN$11:AN80,"&gt;0"),"")</f>
        <v>0</v>
      </c>
      <c r="AQ80">
        <v>70</v>
      </c>
      <c r="AR80">
        <f>IF(AQ80&gt;$AZ$36,"",INDEX($AM$11:$AM$160,MATCH(AQ80,$AP$11:$AP$160,0)))</f>
        <v>0</v>
      </c>
      <c r="AS80">
        <f>IF(AQ80&gt;$AZ$36,"",INDEX($AO$11:$AO$160,MATCH(AQ80,$AP$11:$AP$160,0)))</f>
        <v>0</v>
      </c>
    </row>
    <row r="81" spans="39:45">
      <c r="AM81">
        <f>IF(Markets!$A$75="","",Markets!$A$75)</f>
        <v>0</v>
      </c>
      <c r="AN81">
        <f>IF(AM81="",0,COUNTIFS(Journal!$C$11:$C$15,AM81,$K$11:$K$15,TRUE))</f>
        <v>0</v>
      </c>
      <c r="AO81">
        <f>IF(AN81=0,0,SUMIF(Journal!$C$11:$C$15,AM81,$V$11:$V$15))</f>
        <v>0</v>
      </c>
      <c r="AP81">
        <f>IF(AN81&gt;0,COUNTIF($AN$11:AN81,"&gt;0"),"")</f>
        <v>0</v>
      </c>
      <c r="AQ81">
        <v>71</v>
      </c>
      <c r="AR81">
        <f>IF(AQ81&gt;$AZ$36,"",INDEX($AM$11:$AM$160,MATCH(AQ81,$AP$11:$AP$160,0)))</f>
        <v>0</v>
      </c>
      <c r="AS81">
        <f>IF(AQ81&gt;$AZ$36,"",INDEX($AO$11:$AO$160,MATCH(AQ81,$AP$11:$AP$160,0)))</f>
        <v>0</v>
      </c>
    </row>
    <row r="82" spans="39:45">
      <c r="AM82">
        <f>IF(Markets!$A$76="","",Markets!$A$76)</f>
        <v>0</v>
      </c>
      <c r="AN82">
        <f>IF(AM82="",0,COUNTIFS(Journal!$C$11:$C$15,AM82,$K$11:$K$15,TRUE))</f>
        <v>0</v>
      </c>
      <c r="AO82">
        <f>IF(AN82=0,0,SUMIF(Journal!$C$11:$C$15,AM82,$V$11:$V$15))</f>
        <v>0</v>
      </c>
      <c r="AP82">
        <f>IF(AN82&gt;0,COUNTIF($AN$11:AN82,"&gt;0"),"")</f>
        <v>0</v>
      </c>
      <c r="AQ82">
        <v>72</v>
      </c>
      <c r="AR82">
        <f>IF(AQ82&gt;$AZ$36,"",INDEX($AM$11:$AM$160,MATCH(AQ82,$AP$11:$AP$160,0)))</f>
        <v>0</v>
      </c>
      <c r="AS82">
        <f>IF(AQ82&gt;$AZ$36,"",INDEX($AO$11:$AO$160,MATCH(AQ82,$AP$11:$AP$160,0)))</f>
        <v>0</v>
      </c>
    </row>
    <row r="83" spans="39:45">
      <c r="AM83">
        <f>IF(Markets!$A$77="","",Markets!$A$77)</f>
        <v>0</v>
      </c>
      <c r="AN83">
        <f>IF(AM83="",0,COUNTIFS(Journal!$C$11:$C$15,AM83,$K$11:$K$15,TRUE))</f>
        <v>0</v>
      </c>
      <c r="AO83">
        <f>IF(AN83=0,0,SUMIF(Journal!$C$11:$C$15,AM83,$V$11:$V$15))</f>
        <v>0</v>
      </c>
      <c r="AP83">
        <f>IF(AN83&gt;0,COUNTIF($AN$11:AN83,"&gt;0"),"")</f>
        <v>0</v>
      </c>
      <c r="AQ83">
        <v>73</v>
      </c>
      <c r="AR83">
        <f>IF(AQ83&gt;$AZ$36,"",INDEX($AM$11:$AM$160,MATCH(AQ83,$AP$11:$AP$160,0)))</f>
        <v>0</v>
      </c>
      <c r="AS83">
        <f>IF(AQ83&gt;$AZ$36,"",INDEX($AO$11:$AO$160,MATCH(AQ83,$AP$11:$AP$160,0)))</f>
        <v>0</v>
      </c>
    </row>
    <row r="84" spans="39:45">
      <c r="AM84">
        <f>IF(Markets!$A$78="","",Markets!$A$78)</f>
        <v>0</v>
      </c>
      <c r="AN84">
        <f>IF(AM84="",0,COUNTIFS(Journal!$C$11:$C$15,AM84,$K$11:$K$15,TRUE))</f>
        <v>0</v>
      </c>
      <c r="AO84">
        <f>IF(AN84=0,0,SUMIF(Journal!$C$11:$C$15,AM84,$V$11:$V$15))</f>
        <v>0</v>
      </c>
      <c r="AP84">
        <f>IF(AN84&gt;0,COUNTIF($AN$11:AN84,"&gt;0"),"")</f>
        <v>0</v>
      </c>
      <c r="AQ84">
        <v>74</v>
      </c>
      <c r="AR84">
        <f>IF(AQ84&gt;$AZ$36,"",INDEX($AM$11:$AM$160,MATCH(AQ84,$AP$11:$AP$160,0)))</f>
        <v>0</v>
      </c>
      <c r="AS84">
        <f>IF(AQ84&gt;$AZ$36,"",INDEX($AO$11:$AO$160,MATCH(AQ84,$AP$11:$AP$160,0)))</f>
        <v>0</v>
      </c>
    </row>
    <row r="85" spans="39:45">
      <c r="AM85">
        <f>IF(Markets!$A$79="","",Markets!$A$79)</f>
        <v>0</v>
      </c>
      <c r="AN85">
        <f>IF(AM85="",0,COUNTIFS(Journal!$C$11:$C$15,AM85,$K$11:$K$15,TRUE))</f>
        <v>0</v>
      </c>
      <c r="AO85">
        <f>IF(AN85=0,0,SUMIF(Journal!$C$11:$C$15,AM85,$V$11:$V$15))</f>
        <v>0</v>
      </c>
      <c r="AP85">
        <f>IF(AN85&gt;0,COUNTIF($AN$11:AN85,"&gt;0"),"")</f>
        <v>0</v>
      </c>
      <c r="AQ85">
        <v>75</v>
      </c>
      <c r="AR85">
        <f>IF(AQ85&gt;$AZ$36,"",INDEX($AM$11:$AM$160,MATCH(AQ85,$AP$11:$AP$160,0)))</f>
        <v>0</v>
      </c>
      <c r="AS85">
        <f>IF(AQ85&gt;$AZ$36,"",INDEX($AO$11:$AO$160,MATCH(AQ85,$AP$11:$AP$160,0)))</f>
        <v>0</v>
      </c>
    </row>
    <row r="86" spans="39:45">
      <c r="AM86">
        <f>IF(Markets!$A$80="","",Markets!$A$80)</f>
        <v>0</v>
      </c>
      <c r="AN86">
        <f>IF(AM86="",0,COUNTIFS(Journal!$C$11:$C$15,AM86,$K$11:$K$15,TRUE))</f>
        <v>0</v>
      </c>
      <c r="AO86">
        <f>IF(AN86=0,0,SUMIF(Journal!$C$11:$C$15,AM86,$V$11:$V$15))</f>
        <v>0</v>
      </c>
      <c r="AP86">
        <f>IF(AN86&gt;0,COUNTIF($AN$11:AN86,"&gt;0"),"")</f>
        <v>0</v>
      </c>
      <c r="AQ86">
        <v>76</v>
      </c>
      <c r="AR86">
        <f>IF(AQ86&gt;$AZ$36,"",INDEX($AM$11:$AM$160,MATCH(AQ86,$AP$11:$AP$160,0)))</f>
        <v>0</v>
      </c>
      <c r="AS86">
        <f>IF(AQ86&gt;$AZ$36,"",INDEX($AO$11:$AO$160,MATCH(AQ86,$AP$11:$AP$160,0)))</f>
        <v>0</v>
      </c>
    </row>
    <row r="87" spans="39:45">
      <c r="AM87">
        <f>IF(Markets!$A$81="","",Markets!$A$81)</f>
        <v>0</v>
      </c>
      <c r="AN87">
        <f>IF(AM87="",0,COUNTIFS(Journal!$C$11:$C$15,AM87,$K$11:$K$15,TRUE))</f>
        <v>0</v>
      </c>
      <c r="AO87">
        <f>IF(AN87=0,0,SUMIF(Journal!$C$11:$C$15,AM87,$V$11:$V$15))</f>
        <v>0</v>
      </c>
      <c r="AP87">
        <f>IF(AN87&gt;0,COUNTIF($AN$11:AN87,"&gt;0"),"")</f>
        <v>0</v>
      </c>
      <c r="AQ87">
        <v>77</v>
      </c>
      <c r="AR87">
        <f>IF(AQ87&gt;$AZ$36,"",INDEX($AM$11:$AM$160,MATCH(AQ87,$AP$11:$AP$160,0)))</f>
        <v>0</v>
      </c>
      <c r="AS87">
        <f>IF(AQ87&gt;$AZ$36,"",INDEX($AO$11:$AO$160,MATCH(AQ87,$AP$11:$AP$160,0)))</f>
        <v>0</v>
      </c>
    </row>
    <row r="88" spans="39:45">
      <c r="AM88">
        <f>IF(Markets!$A$82="","",Markets!$A$82)</f>
        <v>0</v>
      </c>
      <c r="AN88">
        <f>IF(AM88="",0,COUNTIFS(Journal!$C$11:$C$15,AM88,$K$11:$K$15,TRUE))</f>
        <v>0</v>
      </c>
      <c r="AO88">
        <f>IF(AN88=0,0,SUMIF(Journal!$C$11:$C$15,AM88,$V$11:$V$15))</f>
        <v>0</v>
      </c>
      <c r="AP88">
        <f>IF(AN88&gt;0,COUNTIF($AN$11:AN88,"&gt;0"),"")</f>
        <v>0</v>
      </c>
      <c r="AQ88">
        <v>78</v>
      </c>
      <c r="AR88">
        <f>IF(AQ88&gt;$AZ$36,"",INDEX($AM$11:$AM$160,MATCH(AQ88,$AP$11:$AP$160,0)))</f>
        <v>0</v>
      </c>
      <c r="AS88">
        <f>IF(AQ88&gt;$AZ$36,"",INDEX($AO$11:$AO$160,MATCH(AQ88,$AP$11:$AP$160,0)))</f>
        <v>0</v>
      </c>
    </row>
    <row r="89" spans="39:45">
      <c r="AM89">
        <f>IF(Markets!$A$83="","",Markets!$A$83)</f>
        <v>0</v>
      </c>
      <c r="AN89">
        <f>IF(AM89="",0,COUNTIFS(Journal!$C$11:$C$15,AM89,$K$11:$K$15,TRUE))</f>
        <v>0</v>
      </c>
      <c r="AO89">
        <f>IF(AN89=0,0,SUMIF(Journal!$C$11:$C$15,AM89,$V$11:$V$15))</f>
        <v>0</v>
      </c>
      <c r="AP89">
        <f>IF(AN89&gt;0,COUNTIF($AN$11:AN89,"&gt;0"),"")</f>
        <v>0</v>
      </c>
      <c r="AQ89">
        <v>79</v>
      </c>
      <c r="AR89">
        <f>IF(AQ89&gt;$AZ$36,"",INDEX($AM$11:$AM$160,MATCH(AQ89,$AP$11:$AP$160,0)))</f>
        <v>0</v>
      </c>
      <c r="AS89">
        <f>IF(AQ89&gt;$AZ$36,"",INDEX($AO$11:$AO$160,MATCH(AQ89,$AP$11:$AP$160,0)))</f>
        <v>0</v>
      </c>
    </row>
    <row r="90" spans="39:45">
      <c r="AM90">
        <f>IF(Markets!$A$84="","",Markets!$A$84)</f>
        <v>0</v>
      </c>
      <c r="AN90">
        <f>IF(AM90="",0,COUNTIFS(Journal!$C$11:$C$15,AM90,$K$11:$K$15,TRUE))</f>
        <v>0</v>
      </c>
      <c r="AO90">
        <f>IF(AN90=0,0,SUMIF(Journal!$C$11:$C$15,AM90,$V$11:$V$15))</f>
        <v>0</v>
      </c>
      <c r="AP90">
        <f>IF(AN90&gt;0,COUNTIF($AN$11:AN90,"&gt;0"),"")</f>
        <v>0</v>
      </c>
      <c r="AQ90">
        <v>80</v>
      </c>
      <c r="AR90">
        <f>IF(AQ90&gt;$AZ$36,"",INDEX($AM$11:$AM$160,MATCH(AQ90,$AP$11:$AP$160,0)))</f>
        <v>0</v>
      </c>
      <c r="AS90">
        <f>IF(AQ90&gt;$AZ$36,"",INDEX($AO$11:$AO$160,MATCH(AQ90,$AP$11:$AP$160,0)))</f>
        <v>0</v>
      </c>
    </row>
    <row r="91" spans="39:45">
      <c r="AM91">
        <f>IF(Markets!$A$85="","",Markets!$A$85)</f>
        <v>0</v>
      </c>
      <c r="AN91">
        <f>IF(AM91="",0,COUNTIFS(Journal!$C$11:$C$15,AM91,$K$11:$K$15,TRUE))</f>
        <v>0</v>
      </c>
      <c r="AO91">
        <f>IF(AN91=0,0,SUMIF(Journal!$C$11:$C$15,AM91,$V$11:$V$15))</f>
        <v>0</v>
      </c>
      <c r="AP91">
        <f>IF(AN91&gt;0,COUNTIF($AN$11:AN91,"&gt;0"),"")</f>
        <v>0</v>
      </c>
      <c r="AQ91">
        <v>81</v>
      </c>
      <c r="AR91">
        <f>IF(AQ91&gt;$AZ$36,"",INDEX($AM$11:$AM$160,MATCH(AQ91,$AP$11:$AP$160,0)))</f>
        <v>0</v>
      </c>
      <c r="AS91">
        <f>IF(AQ91&gt;$AZ$36,"",INDEX($AO$11:$AO$160,MATCH(AQ91,$AP$11:$AP$160,0)))</f>
        <v>0</v>
      </c>
    </row>
    <row r="92" spans="39:45">
      <c r="AM92">
        <f>IF(Markets!$A$86="","",Markets!$A$86)</f>
        <v>0</v>
      </c>
      <c r="AN92">
        <f>IF(AM92="",0,COUNTIFS(Journal!$C$11:$C$15,AM92,$K$11:$K$15,TRUE))</f>
        <v>0</v>
      </c>
      <c r="AO92">
        <f>IF(AN92=0,0,SUMIF(Journal!$C$11:$C$15,AM92,$V$11:$V$15))</f>
        <v>0</v>
      </c>
      <c r="AP92">
        <f>IF(AN92&gt;0,COUNTIF($AN$11:AN92,"&gt;0"),"")</f>
        <v>0</v>
      </c>
      <c r="AQ92">
        <v>82</v>
      </c>
      <c r="AR92">
        <f>IF(AQ92&gt;$AZ$36,"",INDEX($AM$11:$AM$160,MATCH(AQ92,$AP$11:$AP$160,0)))</f>
        <v>0</v>
      </c>
      <c r="AS92">
        <f>IF(AQ92&gt;$AZ$36,"",INDEX($AO$11:$AO$160,MATCH(AQ92,$AP$11:$AP$160,0)))</f>
        <v>0</v>
      </c>
    </row>
    <row r="93" spans="39:45">
      <c r="AM93">
        <f>IF(Markets!$A$87="","",Markets!$A$87)</f>
        <v>0</v>
      </c>
      <c r="AN93">
        <f>IF(AM93="",0,COUNTIFS(Journal!$C$11:$C$15,AM93,$K$11:$K$15,TRUE))</f>
        <v>0</v>
      </c>
      <c r="AO93">
        <f>IF(AN93=0,0,SUMIF(Journal!$C$11:$C$15,AM93,$V$11:$V$15))</f>
        <v>0</v>
      </c>
      <c r="AP93">
        <f>IF(AN93&gt;0,COUNTIF($AN$11:AN93,"&gt;0"),"")</f>
        <v>0</v>
      </c>
      <c r="AQ93">
        <v>83</v>
      </c>
      <c r="AR93">
        <f>IF(AQ93&gt;$AZ$36,"",INDEX($AM$11:$AM$160,MATCH(AQ93,$AP$11:$AP$160,0)))</f>
        <v>0</v>
      </c>
      <c r="AS93">
        <f>IF(AQ93&gt;$AZ$36,"",INDEX($AO$11:$AO$160,MATCH(AQ93,$AP$11:$AP$160,0)))</f>
        <v>0</v>
      </c>
    </row>
    <row r="94" spans="39:45">
      <c r="AM94">
        <f>IF(Markets!$A$88="","",Markets!$A$88)</f>
        <v>0</v>
      </c>
      <c r="AN94">
        <f>IF(AM94="",0,COUNTIFS(Journal!$C$11:$C$15,AM94,$K$11:$K$15,TRUE))</f>
        <v>0</v>
      </c>
      <c r="AO94">
        <f>IF(AN94=0,0,SUMIF(Journal!$C$11:$C$15,AM94,$V$11:$V$15))</f>
        <v>0</v>
      </c>
      <c r="AP94">
        <f>IF(AN94&gt;0,COUNTIF($AN$11:AN94,"&gt;0"),"")</f>
        <v>0</v>
      </c>
      <c r="AQ94">
        <v>84</v>
      </c>
      <c r="AR94">
        <f>IF(AQ94&gt;$AZ$36,"",INDEX($AM$11:$AM$160,MATCH(AQ94,$AP$11:$AP$160,0)))</f>
        <v>0</v>
      </c>
      <c r="AS94">
        <f>IF(AQ94&gt;$AZ$36,"",INDEX($AO$11:$AO$160,MATCH(AQ94,$AP$11:$AP$160,0)))</f>
        <v>0</v>
      </c>
    </row>
    <row r="95" spans="39:45">
      <c r="AM95">
        <f>IF(Markets!$A$89="","",Markets!$A$89)</f>
        <v>0</v>
      </c>
      <c r="AN95">
        <f>IF(AM95="",0,COUNTIFS(Journal!$C$11:$C$15,AM95,$K$11:$K$15,TRUE))</f>
        <v>0</v>
      </c>
      <c r="AO95">
        <f>IF(AN95=0,0,SUMIF(Journal!$C$11:$C$15,AM95,$V$11:$V$15))</f>
        <v>0</v>
      </c>
      <c r="AP95">
        <f>IF(AN95&gt;0,COUNTIF($AN$11:AN95,"&gt;0"),"")</f>
        <v>0</v>
      </c>
      <c r="AQ95">
        <v>85</v>
      </c>
      <c r="AR95">
        <f>IF(AQ95&gt;$AZ$36,"",INDEX($AM$11:$AM$160,MATCH(AQ95,$AP$11:$AP$160,0)))</f>
        <v>0</v>
      </c>
      <c r="AS95">
        <f>IF(AQ95&gt;$AZ$36,"",INDEX($AO$11:$AO$160,MATCH(AQ95,$AP$11:$AP$160,0)))</f>
        <v>0</v>
      </c>
    </row>
    <row r="96" spans="39:45">
      <c r="AM96">
        <f>IF(Markets!$A$90="","",Markets!$A$90)</f>
        <v>0</v>
      </c>
      <c r="AN96">
        <f>IF(AM96="",0,COUNTIFS(Journal!$C$11:$C$15,AM96,$K$11:$K$15,TRUE))</f>
        <v>0</v>
      </c>
      <c r="AO96">
        <f>IF(AN96=0,0,SUMIF(Journal!$C$11:$C$15,AM96,$V$11:$V$15))</f>
        <v>0</v>
      </c>
      <c r="AP96">
        <f>IF(AN96&gt;0,COUNTIF($AN$11:AN96,"&gt;0"),"")</f>
        <v>0</v>
      </c>
      <c r="AQ96">
        <v>86</v>
      </c>
      <c r="AR96">
        <f>IF(AQ96&gt;$AZ$36,"",INDEX($AM$11:$AM$160,MATCH(AQ96,$AP$11:$AP$160,0)))</f>
        <v>0</v>
      </c>
      <c r="AS96">
        <f>IF(AQ96&gt;$AZ$36,"",INDEX($AO$11:$AO$160,MATCH(AQ96,$AP$11:$AP$160,0)))</f>
        <v>0</v>
      </c>
    </row>
    <row r="97" spans="39:45">
      <c r="AM97">
        <f>IF(Markets!$A$91="","",Markets!$A$91)</f>
        <v>0</v>
      </c>
      <c r="AN97">
        <f>IF(AM97="",0,COUNTIFS(Journal!$C$11:$C$15,AM97,$K$11:$K$15,TRUE))</f>
        <v>0</v>
      </c>
      <c r="AO97">
        <f>IF(AN97=0,0,SUMIF(Journal!$C$11:$C$15,AM97,$V$11:$V$15))</f>
        <v>0</v>
      </c>
      <c r="AP97">
        <f>IF(AN97&gt;0,COUNTIF($AN$11:AN97,"&gt;0"),"")</f>
        <v>0</v>
      </c>
      <c r="AQ97">
        <v>87</v>
      </c>
      <c r="AR97">
        <f>IF(AQ97&gt;$AZ$36,"",INDEX($AM$11:$AM$160,MATCH(AQ97,$AP$11:$AP$160,0)))</f>
        <v>0</v>
      </c>
      <c r="AS97">
        <f>IF(AQ97&gt;$AZ$36,"",INDEX($AO$11:$AO$160,MATCH(AQ97,$AP$11:$AP$160,0)))</f>
        <v>0</v>
      </c>
    </row>
    <row r="98" spans="39:45">
      <c r="AM98">
        <f>IF(Markets!$A$92="","",Markets!$A$92)</f>
        <v>0</v>
      </c>
      <c r="AN98">
        <f>IF(AM98="",0,COUNTIFS(Journal!$C$11:$C$15,AM98,$K$11:$K$15,TRUE))</f>
        <v>0</v>
      </c>
      <c r="AO98">
        <f>IF(AN98=0,0,SUMIF(Journal!$C$11:$C$15,AM98,$V$11:$V$15))</f>
        <v>0</v>
      </c>
      <c r="AP98">
        <f>IF(AN98&gt;0,COUNTIF($AN$11:AN98,"&gt;0"),"")</f>
        <v>0</v>
      </c>
      <c r="AQ98">
        <v>88</v>
      </c>
      <c r="AR98">
        <f>IF(AQ98&gt;$AZ$36,"",INDEX($AM$11:$AM$160,MATCH(AQ98,$AP$11:$AP$160,0)))</f>
        <v>0</v>
      </c>
      <c r="AS98">
        <f>IF(AQ98&gt;$AZ$36,"",INDEX($AO$11:$AO$160,MATCH(AQ98,$AP$11:$AP$160,0)))</f>
        <v>0</v>
      </c>
    </row>
    <row r="99" spans="39:45">
      <c r="AM99">
        <f>IF(Markets!$A$93="","",Markets!$A$93)</f>
        <v>0</v>
      </c>
      <c r="AN99">
        <f>IF(AM99="",0,COUNTIFS(Journal!$C$11:$C$15,AM99,$K$11:$K$15,TRUE))</f>
        <v>0</v>
      </c>
      <c r="AO99">
        <f>IF(AN99=0,0,SUMIF(Journal!$C$11:$C$15,AM99,$V$11:$V$15))</f>
        <v>0</v>
      </c>
      <c r="AP99">
        <f>IF(AN99&gt;0,COUNTIF($AN$11:AN99,"&gt;0"),"")</f>
        <v>0</v>
      </c>
      <c r="AQ99">
        <v>89</v>
      </c>
      <c r="AR99">
        <f>IF(AQ99&gt;$AZ$36,"",INDEX($AM$11:$AM$160,MATCH(AQ99,$AP$11:$AP$160,0)))</f>
        <v>0</v>
      </c>
      <c r="AS99">
        <f>IF(AQ99&gt;$AZ$36,"",INDEX($AO$11:$AO$160,MATCH(AQ99,$AP$11:$AP$160,0)))</f>
        <v>0</v>
      </c>
    </row>
    <row r="100" spans="39:45">
      <c r="AM100">
        <f>IF(Markets!$A$94="","",Markets!$A$94)</f>
        <v>0</v>
      </c>
      <c r="AN100">
        <f>IF(AM100="",0,COUNTIFS(Journal!$C$11:$C$15,AM100,$K$11:$K$15,TRUE))</f>
        <v>0</v>
      </c>
      <c r="AO100">
        <f>IF(AN100=0,0,SUMIF(Journal!$C$11:$C$15,AM100,$V$11:$V$15))</f>
        <v>0</v>
      </c>
      <c r="AP100">
        <f>IF(AN100&gt;0,COUNTIF($AN$11:AN100,"&gt;0"),"")</f>
        <v>0</v>
      </c>
      <c r="AQ100">
        <v>90</v>
      </c>
      <c r="AR100">
        <f>IF(AQ100&gt;$AZ$36,"",INDEX($AM$11:$AM$160,MATCH(AQ100,$AP$11:$AP$160,0)))</f>
        <v>0</v>
      </c>
      <c r="AS100">
        <f>IF(AQ100&gt;$AZ$36,"",INDEX($AO$11:$AO$160,MATCH(AQ100,$AP$11:$AP$160,0)))</f>
        <v>0</v>
      </c>
    </row>
    <row r="101" spans="39:45">
      <c r="AM101">
        <f>IF(Markets!$A$95="","",Markets!$A$95)</f>
        <v>0</v>
      </c>
      <c r="AN101">
        <f>IF(AM101="",0,COUNTIFS(Journal!$C$11:$C$15,AM101,$K$11:$K$15,TRUE))</f>
        <v>0</v>
      </c>
      <c r="AO101">
        <f>IF(AN101=0,0,SUMIF(Journal!$C$11:$C$15,AM101,$V$11:$V$15))</f>
        <v>0</v>
      </c>
      <c r="AP101">
        <f>IF(AN101&gt;0,COUNTIF($AN$11:AN101,"&gt;0"),"")</f>
        <v>0</v>
      </c>
      <c r="AQ101">
        <v>91</v>
      </c>
      <c r="AR101">
        <f>IF(AQ101&gt;$AZ$36,"",INDEX($AM$11:$AM$160,MATCH(AQ101,$AP$11:$AP$160,0)))</f>
        <v>0</v>
      </c>
      <c r="AS101">
        <f>IF(AQ101&gt;$AZ$36,"",INDEX($AO$11:$AO$160,MATCH(AQ101,$AP$11:$AP$160,0)))</f>
        <v>0</v>
      </c>
    </row>
    <row r="102" spans="39:45">
      <c r="AM102">
        <f>IF(Markets!$A$96="","",Markets!$A$96)</f>
        <v>0</v>
      </c>
      <c r="AN102">
        <f>IF(AM102="",0,COUNTIFS(Journal!$C$11:$C$15,AM102,$K$11:$K$15,TRUE))</f>
        <v>0</v>
      </c>
      <c r="AO102">
        <f>IF(AN102=0,0,SUMIF(Journal!$C$11:$C$15,AM102,$V$11:$V$15))</f>
        <v>0</v>
      </c>
      <c r="AP102">
        <f>IF(AN102&gt;0,COUNTIF($AN$11:AN102,"&gt;0"),"")</f>
        <v>0</v>
      </c>
      <c r="AQ102">
        <v>92</v>
      </c>
      <c r="AR102">
        <f>IF(AQ102&gt;$AZ$36,"",INDEX($AM$11:$AM$160,MATCH(AQ102,$AP$11:$AP$160,0)))</f>
        <v>0</v>
      </c>
      <c r="AS102">
        <f>IF(AQ102&gt;$AZ$36,"",INDEX($AO$11:$AO$160,MATCH(AQ102,$AP$11:$AP$160,0)))</f>
        <v>0</v>
      </c>
    </row>
    <row r="103" spans="39:45">
      <c r="AM103">
        <f>IF(Markets!$A$97="","",Markets!$A$97)</f>
        <v>0</v>
      </c>
      <c r="AN103">
        <f>IF(AM103="",0,COUNTIFS(Journal!$C$11:$C$15,AM103,$K$11:$K$15,TRUE))</f>
        <v>0</v>
      </c>
      <c r="AO103">
        <f>IF(AN103=0,0,SUMIF(Journal!$C$11:$C$15,AM103,$V$11:$V$15))</f>
        <v>0</v>
      </c>
      <c r="AP103">
        <f>IF(AN103&gt;0,COUNTIF($AN$11:AN103,"&gt;0"),"")</f>
        <v>0</v>
      </c>
      <c r="AQ103">
        <v>93</v>
      </c>
      <c r="AR103">
        <f>IF(AQ103&gt;$AZ$36,"",INDEX($AM$11:$AM$160,MATCH(AQ103,$AP$11:$AP$160,0)))</f>
        <v>0</v>
      </c>
      <c r="AS103">
        <f>IF(AQ103&gt;$AZ$36,"",INDEX($AO$11:$AO$160,MATCH(AQ103,$AP$11:$AP$160,0)))</f>
        <v>0</v>
      </c>
    </row>
    <row r="104" spans="39:45">
      <c r="AM104">
        <f>IF(Markets!$A$98="","",Markets!$A$98)</f>
        <v>0</v>
      </c>
      <c r="AN104">
        <f>IF(AM104="",0,COUNTIFS(Journal!$C$11:$C$15,AM104,$K$11:$K$15,TRUE))</f>
        <v>0</v>
      </c>
      <c r="AO104">
        <f>IF(AN104=0,0,SUMIF(Journal!$C$11:$C$15,AM104,$V$11:$V$15))</f>
        <v>0</v>
      </c>
      <c r="AP104">
        <f>IF(AN104&gt;0,COUNTIF($AN$11:AN104,"&gt;0"),"")</f>
        <v>0</v>
      </c>
      <c r="AQ104">
        <v>94</v>
      </c>
      <c r="AR104">
        <f>IF(AQ104&gt;$AZ$36,"",INDEX($AM$11:$AM$160,MATCH(AQ104,$AP$11:$AP$160,0)))</f>
        <v>0</v>
      </c>
      <c r="AS104">
        <f>IF(AQ104&gt;$AZ$36,"",INDEX($AO$11:$AO$160,MATCH(AQ104,$AP$11:$AP$160,0)))</f>
        <v>0</v>
      </c>
    </row>
    <row r="105" spans="39:45">
      <c r="AM105">
        <f>IF(Markets!$A$99="","",Markets!$A$99)</f>
        <v>0</v>
      </c>
      <c r="AN105">
        <f>IF(AM105="",0,COUNTIFS(Journal!$C$11:$C$15,AM105,$K$11:$K$15,TRUE))</f>
        <v>0</v>
      </c>
      <c r="AO105">
        <f>IF(AN105=0,0,SUMIF(Journal!$C$11:$C$15,AM105,$V$11:$V$15))</f>
        <v>0</v>
      </c>
      <c r="AP105">
        <f>IF(AN105&gt;0,COUNTIF($AN$11:AN105,"&gt;0"),"")</f>
        <v>0</v>
      </c>
      <c r="AQ105">
        <v>95</v>
      </c>
      <c r="AR105">
        <f>IF(AQ105&gt;$AZ$36,"",INDEX($AM$11:$AM$160,MATCH(AQ105,$AP$11:$AP$160,0)))</f>
        <v>0</v>
      </c>
      <c r="AS105">
        <f>IF(AQ105&gt;$AZ$36,"",INDEX($AO$11:$AO$160,MATCH(AQ105,$AP$11:$AP$160,0)))</f>
        <v>0</v>
      </c>
    </row>
    <row r="106" spans="39:45">
      <c r="AM106">
        <f>IF(Markets!$A$100="","",Markets!$A$100)</f>
        <v>0</v>
      </c>
      <c r="AN106">
        <f>IF(AM106="",0,COUNTIFS(Journal!$C$11:$C$15,AM106,$K$11:$K$15,TRUE))</f>
        <v>0</v>
      </c>
      <c r="AO106">
        <f>IF(AN106=0,0,SUMIF(Journal!$C$11:$C$15,AM106,$V$11:$V$15))</f>
        <v>0</v>
      </c>
      <c r="AP106">
        <f>IF(AN106&gt;0,COUNTIF($AN$11:AN106,"&gt;0"),"")</f>
        <v>0</v>
      </c>
      <c r="AQ106">
        <v>96</v>
      </c>
      <c r="AR106">
        <f>IF(AQ106&gt;$AZ$36,"",INDEX($AM$11:$AM$160,MATCH(AQ106,$AP$11:$AP$160,0)))</f>
        <v>0</v>
      </c>
      <c r="AS106">
        <f>IF(AQ106&gt;$AZ$36,"",INDEX($AO$11:$AO$160,MATCH(AQ106,$AP$11:$AP$160,0)))</f>
        <v>0</v>
      </c>
    </row>
    <row r="107" spans="39:45">
      <c r="AM107">
        <f>IF(Markets!$A$101="","",Markets!$A$101)</f>
        <v>0</v>
      </c>
      <c r="AN107">
        <f>IF(AM107="",0,COUNTIFS(Journal!$C$11:$C$15,AM107,$K$11:$K$15,TRUE))</f>
        <v>0</v>
      </c>
      <c r="AO107">
        <f>IF(AN107=0,0,SUMIF(Journal!$C$11:$C$15,AM107,$V$11:$V$15))</f>
        <v>0</v>
      </c>
      <c r="AP107">
        <f>IF(AN107&gt;0,COUNTIF($AN$11:AN107,"&gt;0"),"")</f>
        <v>0</v>
      </c>
      <c r="AQ107">
        <v>97</v>
      </c>
      <c r="AR107">
        <f>IF(AQ107&gt;$AZ$36,"",INDEX($AM$11:$AM$160,MATCH(AQ107,$AP$11:$AP$160,0)))</f>
        <v>0</v>
      </c>
      <c r="AS107">
        <f>IF(AQ107&gt;$AZ$36,"",INDEX($AO$11:$AO$160,MATCH(AQ107,$AP$11:$AP$160,0)))</f>
        <v>0</v>
      </c>
    </row>
    <row r="108" spans="39:45">
      <c r="AM108">
        <f>IF(Markets!$A$102="","",Markets!$A$102)</f>
        <v>0</v>
      </c>
      <c r="AN108">
        <f>IF(AM108="",0,COUNTIFS(Journal!$C$11:$C$15,AM108,$K$11:$K$15,TRUE))</f>
        <v>0</v>
      </c>
      <c r="AO108">
        <f>IF(AN108=0,0,SUMIF(Journal!$C$11:$C$15,AM108,$V$11:$V$15))</f>
        <v>0</v>
      </c>
      <c r="AP108">
        <f>IF(AN108&gt;0,COUNTIF($AN$11:AN108,"&gt;0"),"")</f>
        <v>0</v>
      </c>
      <c r="AQ108">
        <v>98</v>
      </c>
      <c r="AR108">
        <f>IF(AQ108&gt;$AZ$36,"",INDEX($AM$11:$AM$160,MATCH(AQ108,$AP$11:$AP$160,0)))</f>
        <v>0</v>
      </c>
      <c r="AS108">
        <f>IF(AQ108&gt;$AZ$36,"",INDEX($AO$11:$AO$160,MATCH(AQ108,$AP$11:$AP$160,0)))</f>
        <v>0</v>
      </c>
    </row>
    <row r="109" spans="39:45">
      <c r="AM109">
        <f>IF(Markets!$A$103="","",Markets!$A$103)</f>
        <v>0</v>
      </c>
      <c r="AN109">
        <f>IF(AM109="",0,COUNTIFS(Journal!$C$11:$C$15,AM109,$K$11:$K$15,TRUE))</f>
        <v>0</v>
      </c>
      <c r="AO109">
        <f>IF(AN109=0,0,SUMIF(Journal!$C$11:$C$15,AM109,$V$11:$V$15))</f>
        <v>0</v>
      </c>
      <c r="AP109">
        <f>IF(AN109&gt;0,COUNTIF($AN$11:AN109,"&gt;0"),"")</f>
        <v>0</v>
      </c>
      <c r="AQ109">
        <v>99</v>
      </c>
      <c r="AR109">
        <f>IF(AQ109&gt;$AZ$36,"",INDEX($AM$11:$AM$160,MATCH(AQ109,$AP$11:$AP$160,0)))</f>
        <v>0</v>
      </c>
      <c r="AS109">
        <f>IF(AQ109&gt;$AZ$36,"",INDEX($AO$11:$AO$160,MATCH(AQ109,$AP$11:$AP$160,0)))</f>
        <v>0</v>
      </c>
    </row>
    <row r="110" spans="39:45">
      <c r="AM110">
        <f>IF(Markets!$A$104="","",Markets!$A$104)</f>
        <v>0</v>
      </c>
      <c r="AN110">
        <f>IF(AM110="",0,COUNTIFS(Journal!$C$11:$C$15,AM110,$K$11:$K$15,TRUE))</f>
        <v>0</v>
      </c>
      <c r="AO110">
        <f>IF(AN110=0,0,SUMIF(Journal!$C$11:$C$15,AM110,$V$11:$V$15))</f>
        <v>0</v>
      </c>
      <c r="AP110">
        <f>IF(AN110&gt;0,COUNTIF($AN$11:AN110,"&gt;0"),"")</f>
        <v>0</v>
      </c>
      <c r="AQ110">
        <v>100</v>
      </c>
      <c r="AR110">
        <f>IF(AQ110&gt;$AZ$36,"",INDEX($AM$11:$AM$160,MATCH(AQ110,$AP$11:$AP$160,0)))</f>
        <v>0</v>
      </c>
      <c r="AS110">
        <f>IF(AQ110&gt;$AZ$36,"",INDEX($AO$11:$AO$160,MATCH(AQ110,$AP$11:$AP$160,0)))</f>
        <v>0</v>
      </c>
    </row>
    <row r="111" spans="39:45">
      <c r="AM111">
        <f>IF(Markets!$A$105="","",Markets!$A$105)</f>
        <v>0</v>
      </c>
      <c r="AN111">
        <f>IF(AM111="",0,COUNTIFS(Journal!$C$11:$C$15,AM111,$K$11:$K$15,TRUE))</f>
        <v>0</v>
      </c>
      <c r="AO111">
        <f>IF(AN111=0,0,SUMIF(Journal!$C$11:$C$15,AM111,$V$11:$V$15))</f>
        <v>0</v>
      </c>
      <c r="AP111">
        <f>IF(AN111&gt;0,COUNTIF($AN$11:AN111,"&gt;0"),"")</f>
        <v>0</v>
      </c>
      <c r="AQ111">
        <v>101</v>
      </c>
      <c r="AR111">
        <f>IF(AQ111&gt;$AZ$36,"",INDEX($AM$11:$AM$160,MATCH(AQ111,$AP$11:$AP$160,0)))</f>
        <v>0</v>
      </c>
      <c r="AS111">
        <f>IF(AQ111&gt;$AZ$36,"",INDEX($AO$11:$AO$160,MATCH(AQ111,$AP$11:$AP$160,0)))</f>
        <v>0</v>
      </c>
    </row>
    <row r="112" spans="39:45">
      <c r="AM112">
        <f>IF(Markets!$A$106="","",Markets!$A$106)</f>
        <v>0</v>
      </c>
      <c r="AN112">
        <f>IF(AM112="",0,COUNTIFS(Journal!$C$11:$C$15,AM112,$K$11:$K$15,TRUE))</f>
        <v>0</v>
      </c>
      <c r="AO112">
        <f>IF(AN112=0,0,SUMIF(Journal!$C$11:$C$15,AM112,$V$11:$V$15))</f>
        <v>0</v>
      </c>
      <c r="AP112">
        <f>IF(AN112&gt;0,COUNTIF($AN$11:AN112,"&gt;0"),"")</f>
        <v>0</v>
      </c>
      <c r="AQ112">
        <v>102</v>
      </c>
      <c r="AR112">
        <f>IF(AQ112&gt;$AZ$36,"",INDEX($AM$11:$AM$160,MATCH(AQ112,$AP$11:$AP$160,0)))</f>
        <v>0</v>
      </c>
      <c r="AS112">
        <f>IF(AQ112&gt;$AZ$36,"",INDEX($AO$11:$AO$160,MATCH(AQ112,$AP$11:$AP$160,0)))</f>
        <v>0</v>
      </c>
    </row>
    <row r="113" spans="39:45">
      <c r="AM113">
        <f>IF(Markets!$A$107="","",Markets!$A$107)</f>
        <v>0</v>
      </c>
      <c r="AN113">
        <f>IF(AM113="",0,COUNTIFS(Journal!$C$11:$C$15,AM113,$K$11:$K$15,TRUE))</f>
        <v>0</v>
      </c>
      <c r="AO113">
        <f>IF(AN113=0,0,SUMIF(Journal!$C$11:$C$15,AM113,$V$11:$V$15))</f>
        <v>0</v>
      </c>
      <c r="AP113">
        <f>IF(AN113&gt;0,COUNTIF($AN$11:AN113,"&gt;0"),"")</f>
        <v>0</v>
      </c>
      <c r="AQ113">
        <v>103</v>
      </c>
      <c r="AR113">
        <f>IF(AQ113&gt;$AZ$36,"",INDEX($AM$11:$AM$160,MATCH(AQ113,$AP$11:$AP$160,0)))</f>
        <v>0</v>
      </c>
      <c r="AS113">
        <f>IF(AQ113&gt;$AZ$36,"",INDEX($AO$11:$AO$160,MATCH(AQ113,$AP$11:$AP$160,0)))</f>
        <v>0</v>
      </c>
    </row>
    <row r="114" spans="39:45">
      <c r="AM114">
        <f>IF(Markets!$A$108="","",Markets!$A$108)</f>
        <v>0</v>
      </c>
      <c r="AN114">
        <f>IF(AM114="",0,COUNTIFS(Journal!$C$11:$C$15,AM114,$K$11:$K$15,TRUE))</f>
        <v>0</v>
      </c>
      <c r="AO114">
        <f>IF(AN114=0,0,SUMIF(Journal!$C$11:$C$15,AM114,$V$11:$V$15))</f>
        <v>0</v>
      </c>
      <c r="AP114">
        <f>IF(AN114&gt;0,COUNTIF($AN$11:AN114,"&gt;0"),"")</f>
        <v>0</v>
      </c>
      <c r="AQ114">
        <v>104</v>
      </c>
      <c r="AR114">
        <f>IF(AQ114&gt;$AZ$36,"",INDEX($AM$11:$AM$160,MATCH(AQ114,$AP$11:$AP$160,0)))</f>
        <v>0</v>
      </c>
      <c r="AS114">
        <f>IF(AQ114&gt;$AZ$36,"",INDEX($AO$11:$AO$160,MATCH(AQ114,$AP$11:$AP$160,0)))</f>
        <v>0</v>
      </c>
    </row>
    <row r="115" spans="39:45">
      <c r="AM115">
        <f>IF(Markets!$A$109="","",Markets!$A$109)</f>
        <v>0</v>
      </c>
      <c r="AN115">
        <f>IF(AM115="",0,COUNTIFS(Journal!$C$11:$C$15,AM115,$K$11:$K$15,TRUE))</f>
        <v>0</v>
      </c>
      <c r="AO115">
        <f>IF(AN115=0,0,SUMIF(Journal!$C$11:$C$15,AM115,$V$11:$V$15))</f>
        <v>0</v>
      </c>
      <c r="AP115">
        <f>IF(AN115&gt;0,COUNTIF($AN$11:AN115,"&gt;0"),"")</f>
        <v>0</v>
      </c>
      <c r="AQ115">
        <v>105</v>
      </c>
      <c r="AR115">
        <f>IF(AQ115&gt;$AZ$36,"",INDEX($AM$11:$AM$160,MATCH(AQ115,$AP$11:$AP$160,0)))</f>
        <v>0</v>
      </c>
      <c r="AS115">
        <f>IF(AQ115&gt;$AZ$36,"",INDEX($AO$11:$AO$160,MATCH(AQ115,$AP$11:$AP$160,0)))</f>
        <v>0</v>
      </c>
    </row>
    <row r="116" spans="39:45">
      <c r="AM116">
        <f>IF(Markets!$A$110="","",Markets!$A$110)</f>
        <v>0</v>
      </c>
      <c r="AN116">
        <f>IF(AM116="",0,COUNTIFS(Journal!$C$11:$C$15,AM116,$K$11:$K$15,TRUE))</f>
        <v>0</v>
      </c>
      <c r="AO116">
        <f>IF(AN116=0,0,SUMIF(Journal!$C$11:$C$15,AM116,$V$11:$V$15))</f>
        <v>0</v>
      </c>
      <c r="AP116">
        <f>IF(AN116&gt;0,COUNTIF($AN$11:AN116,"&gt;0"),"")</f>
        <v>0</v>
      </c>
      <c r="AQ116">
        <v>106</v>
      </c>
      <c r="AR116">
        <f>IF(AQ116&gt;$AZ$36,"",INDEX($AM$11:$AM$160,MATCH(AQ116,$AP$11:$AP$160,0)))</f>
        <v>0</v>
      </c>
      <c r="AS116">
        <f>IF(AQ116&gt;$AZ$36,"",INDEX($AO$11:$AO$160,MATCH(AQ116,$AP$11:$AP$160,0)))</f>
        <v>0</v>
      </c>
    </row>
    <row r="117" spans="39:45">
      <c r="AM117">
        <f>IF(Markets!$A$111="","",Markets!$A$111)</f>
        <v>0</v>
      </c>
      <c r="AN117">
        <f>IF(AM117="",0,COUNTIFS(Journal!$C$11:$C$15,AM117,$K$11:$K$15,TRUE))</f>
        <v>0</v>
      </c>
      <c r="AO117">
        <f>IF(AN117=0,0,SUMIF(Journal!$C$11:$C$15,AM117,$V$11:$V$15))</f>
        <v>0</v>
      </c>
      <c r="AP117">
        <f>IF(AN117&gt;0,COUNTIF($AN$11:AN117,"&gt;0"),"")</f>
        <v>0</v>
      </c>
      <c r="AQ117">
        <v>107</v>
      </c>
      <c r="AR117">
        <f>IF(AQ117&gt;$AZ$36,"",INDEX($AM$11:$AM$160,MATCH(AQ117,$AP$11:$AP$160,0)))</f>
        <v>0</v>
      </c>
      <c r="AS117">
        <f>IF(AQ117&gt;$AZ$36,"",INDEX($AO$11:$AO$160,MATCH(AQ117,$AP$11:$AP$160,0)))</f>
        <v>0</v>
      </c>
    </row>
    <row r="118" spans="39:45">
      <c r="AM118">
        <f>IF(Markets!$A$112="","",Markets!$A$112)</f>
        <v>0</v>
      </c>
      <c r="AN118">
        <f>IF(AM118="",0,COUNTIFS(Journal!$C$11:$C$15,AM118,$K$11:$K$15,TRUE))</f>
        <v>0</v>
      </c>
      <c r="AO118">
        <f>IF(AN118=0,0,SUMIF(Journal!$C$11:$C$15,AM118,$V$11:$V$15))</f>
        <v>0</v>
      </c>
      <c r="AP118">
        <f>IF(AN118&gt;0,COUNTIF($AN$11:AN118,"&gt;0"),"")</f>
        <v>0</v>
      </c>
      <c r="AQ118">
        <v>108</v>
      </c>
      <c r="AR118">
        <f>IF(AQ118&gt;$AZ$36,"",INDEX($AM$11:$AM$160,MATCH(AQ118,$AP$11:$AP$160,0)))</f>
        <v>0</v>
      </c>
      <c r="AS118">
        <f>IF(AQ118&gt;$AZ$36,"",INDEX($AO$11:$AO$160,MATCH(AQ118,$AP$11:$AP$160,0)))</f>
        <v>0</v>
      </c>
    </row>
    <row r="119" spans="39:45">
      <c r="AM119">
        <f>IF(Markets!$A$113="","",Markets!$A$113)</f>
        <v>0</v>
      </c>
      <c r="AN119">
        <f>IF(AM119="",0,COUNTIFS(Journal!$C$11:$C$15,AM119,$K$11:$K$15,TRUE))</f>
        <v>0</v>
      </c>
      <c r="AO119">
        <f>IF(AN119=0,0,SUMIF(Journal!$C$11:$C$15,AM119,$V$11:$V$15))</f>
        <v>0</v>
      </c>
      <c r="AP119">
        <f>IF(AN119&gt;0,COUNTIF($AN$11:AN119,"&gt;0"),"")</f>
        <v>0</v>
      </c>
      <c r="AQ119">
        <v>109</v>
      </c>
      <c r="AR119">
        <f>IF(AQ119&gt;$AZ$36,"",INDEX($AM$11:$AM$160,MATCH(AQ119,$AP$11:$AP$160,0)))</f>
        <v>0</v>
      </c>
      <c r="AS119">
        <f>IF(AQ119&gt;$AZ$36,"",INDEX($AO$11:$AO$160,MATCH(AQ119,$AP$11:$AP$160,0)))</f>
        <v>0</v>
      </c>
    </row>
    <row r="120" spans="39:45">
      <c r="AM120">
        <f>IF(Markets!$A$114="","",Markets!$A$114)</f>
        <v>0</v>
      </c>
      <c r="AN120">
        <f>IF(AM120="",0,COUNTIFS(Journal!$C$11:$C$15,AM120,$K$11:$K$15,TRUE))</f>
        <v>0</v>
      </c>
      <c r="AO120">
        <f>IF(AN120=0,0,SUMIF(Journal!$C$11:$C$15,AM120,$V$11:$V$15))</f>
        <v>0</v>
      </c>
      <c r="AP120">
        <f>IF(AN120&gt;0,COUNTIF($AN$11:AN120,"&gt;0"),"")</f>
        <v>0</v>
      </c>
      <c r="AQ120">
        <v>110</v>
      </c>
      <c r="AR120">
        <f>IF(AQ120&gt;$AZ$36,"",INDEX($AM$11:$AM$160,MATCH(AQ120,$AP$11:$AP$160,0)))</f>
        <v>0</v>
      </c>
      <c r="AS120">
        <f>IF(AQ120&gt;$AZ$36,"",INDEX($AO$11:$AO$160,MATCH(AQ120,$AP$11:$AP$160,0)))</f>
        <v>0</v>
      </c>
    </row>
    <row r="121" spans="39:45">
      <c r="AM121">
        <f>IF(Markets!$A$115="","",Markets!$A$115)</f>
        <v>0</v>
      </c>
      <c r="AN121">
        <f>IF(AM121="",0,COUNTIFS(Journal!$C$11:$C$15,AM121,$K$11:$K$15,TRUE))</f>
        <v>0</v>
      </c>
      <c r="AO121">
        <f>IF(AN121=0,0,SUMIF(Journal!$C$11:$C$15,AM121,$V$11:$V$15))</f>
        <v>0</v>
      </c>
      <c r="AP121">
        <f>IF(AN121&gt;0,COUNTIF($AN$11:AN121,"&gt;0"),"")</f>
        <v>0</v>
      </c>
      <c r="AQ121">
        <v>111</v>
      </c>
      <c r="AR121">
        <f>IF(AQ121&gt;$AZ$36,"",INDEX($AM$11:$AM$160,MATCH(AQ121,$AP$11:$AP$160,0)))</f>
        <v>0</v>
      </c>
      <c r="AS121">
        <f>IF(AQ121&gt;$AZ$36,"",INDEX($AO$11:$AO$160,MATCH(AQ121,$AP$11:$AP$160,0)))</f>
        <v>0</v>
      </c>
    </row>
    <row r="122" spans="39:45">
      <c r="AM122">
        <f>IF(Markets!$A$116="","",Markets!$A$116)</f>
        <v>0</v>
      </c>
      <c r="AN122">
        <f>IF(AM122="",0,COUNTIFS(Journal!$C$11:$C$15,AM122,$K$11:$K$15,TRUE))</f>
        <v>0</v>
      </c>
      <c r="AO122">
        <f>IF(AN122=0,0,SUMIF(Journal!$C$11:$C$15,AM122,$V$11:$V$15))</f>
        <v>0</v>
      </c>
      <c r="AP122">
        <f>IF(AN122&gt;0,COUNTIF($AN$11:AN122,"&gt;0"),"")</f>
        <v>0</v>
      </c>
      <c r="AQ122">
        <v>112</v>
      </c>
      <c r="AR122">
        <f>IF(AQ122&gt;$AZ$36,"",INDEX($AM$11:$AM$160,MATCH(AQ122,$AP$11:$AP$160,0)))</f>
        <v>0</v>
      </c>
      <c r="AS122">
        <f>IF(AQ122&gt;$AZ$36,"",INDEX($AO$11:$AO$160,MATCH(AQ122,$AP$11:$AP$160,0)))</f>
        <v>0</v>
      </c>
    </row>
    <row r="123" spans="39:45">
      <c r="AM123">
        <f>IF(Markets!$A$117="","",Markets!$A$117)</f>
        <v>0</v>
      </c>
      <c r="AN123">
        <f>IF(AM123="",0,COUNTIFS(Journal!$C$11:$C$15,AM123,$K$11:$K$15,TRUE))</f>
        <v>0</v>
      </c>
      <c r="AO123">
        <f>IF(AN123=0,0,SUMIF(Journal!$C$11:$C$15,AM123,$V$11:$V$15))</f>
        <v>0</v>
      </c>
      <c r="AP123">
        <f>IF(AN123&gt;0,COUNTIF($AN$11:AN123,"&gt;0"),"")</f>
        <v>0</v>
      </c>
      <c r="AQ123">
        <v>113</v>
      </c>
      <c r="AR123">
        <f>IF(AQ123&gt;$AZ$36,"",INDEX($AM$11:$AM$160,MATCH(AQ123,$AP$11:$AP$160,0)))</f>
        <v>0</v>
      </c>
      <c r="AS123">
        <f>IF(AQ123&gt;$AZ$36,"",INDEX($AO$11:$AO$160,MATCH(AQ123,$AP$11:$AP$160,0)))</f>
        <v>0</v>
      </c>
    </row>
    <row r="124" spans="39:45">
      <c r="AM124">
        <f>IF(Markets!$A$118="","",Markets!$A$118)</f>
        <v>0</v>
      </c>
      <c r="AN124">
        <f>IF(AM124="",0,COUNTIFS(Journal!$C$11:$C$15,AM124,$K$11:$K$15,TRUE))</f>
        <v>0</v>
      </c>
      <c r="AO124">
        <f>IF(AN124=0,0,SUMIF(Journal!$C$11:$C$15,AM124,$V$11:$V$15))</f>
        <v>0</v>
      </c>
      <c r="AP124">
        <f>IF(AN124&gt;0,COUNTIF($AN$11:AN124,"&gt;0"),"")</f>
        <v>0</v>
      </c>
      <c r="AQ124">
        <v>114</v>
      </c>
      <c r="AR124">
        <f>IF(AQ124&gt;$AZ$36,"",INDEX($AM$11:$AM$160,MATCH(AQ124,$AP$11:$AP$160,0)))</f>
        <v>0</v>
      </c>
      <c r="AS124">
        <f>IF(AQ124&gt;$AZ$36,"",INDEX($AO$11:$AO$160,MATCH(AQ124,$AP$11:$AP$160,0)))</f>
        <v>0</v>
      </c>
    </row>
    <row r="125" spans="39:45">
      <c r="AM125">
        <f>IF(Markets!$A$119="","",Markets!$A$119)</f>
        <v>0</v>
      </c>
      <c r="AN125">
        <f>IF(AM125="",0,COUNTIFS(Journal!$C$11:$C$15,AM125,$K$11:$K$15,TRUE))</f>
        <v>0</v>
      </c>
      <c r="AO125">
        <f>IF(AN125=0,0,SUMIF(Journal!$C$11:$C$15,AM125,$V$11:$V$15))</f>
        <v>0</v>
      </c>
      <c r="AP125">
        <f>IF(AN125&gt;0,COUNTIF($AN$11:AN125,"&gt;0"),"")</f>
        <v>0</v>
      </c>
      <c r="AQ125">
        <v>115</v>
      </c>
      <c r="AR125">
        <f>IF(AQ125&gt;$AZ$36,"",INDEX($AM$11:$AM$160,MATCH(AQ125,$AP$11:$AP$160,0)))</f>
        <v>0</v>
      </c>
      <c r="AS125">
        <f>IF(AQ125&gt;$AZ$36,"",INDEX($AO$11:$AO$160,MATCH(AQ125,$AP$11:$AP$160,0)))</f>
        <v>0</v>
      </c>
    </row>
    <row r="126" spans="39:45">
      <c r="AM126">
        <f>IF(Markets!$A$120="","",Markets!$A$120)</f>
        <v>0</v>
      </c>
      <c r="AN126">
        <f>IF(AM126="",0,COUNTIFS(Journal!$C$11:$C$15,AM126,$K$11:$K$15,TRUE))</f>
        <v>0</v>
      </c>
      <c r="AO126">
        <f>IF(AN126=0,0,SUMIF(Journal!$C$11:$C$15,AM126,$V$11:$V$15))</f>
        <v>0</v>
      </c>
      <c r="AP126">
        <f>IF(AN126&gt;0,COUNTIF($AN$11:AN126,"&gt;0"),"")</f>
        <v>0</v>
      </c>
      <c r="AQ126">
        <v>116</v>
      </c>
      <c r="AR126">
        <f>IF(AQ126&gt;$AZ$36,"",INDEX($AM$11:$AM$160,MATCH(AQ126,$AP$11:$AP$160,0)))</f>
        <v>0</v>
      </c>
      <c r="AS126">
        <f>IF(AQ126&gt;$AZ$36,"",INDEX($AO$11:$AO$160,MATCH(AQ126,$AP$11:$AP$160,0)))</f>
        <v>0</v>
      </c>
    </row>
    <row r="127" spans="39:45">
      <c r="AM127">
        <f>IF(Markets!$A$121="","",Markets!$A$121)</f>
        <v>0</v>
      </c>
      <c r="AN127">
        <f>IF(AM127="",0,COUNTIFS(Journal!$C$11:$C$15,AM127,$K$11:$K$15,TRUE))</f>
        <v>0</v>
      </c>
      <c r="AO127">
        <f>IF(AN127=0,0,SUMIF(Journal!$C$11:$C$15,AM127,$V$11:$V$15))</f>
        <v>0</v>
      </c>
      <c r="AP127">
        <f>IF(AN127&gt;0,COUNTIF($AN$11:AN127,"&gt;0"),"")</f>
        <v>0</v>
      </c>
      <c r="AQ127">
        <v>117</v>
      </c>
      <c r="AR127">
        <f>IF(AQ127&gt;$AZ$36,"",INDEX($AM$11:$AM$160,MATCH(AQ127,$AP$11:$AP$160,0)))</f>
        <v>0</v>
      </c>
      <c r="AS127">
        <f>IF(AQ127&gt;$AZ$36,"",INDEX($AO$11:$AO$160,MATCH(AQ127,$AP$11:$AP$160,0)))</f>
        <v>0</v>
      </c>
    </row>
    <row r="128" spans="39:45">
      <c r="AM128">
        <f>IF(Markets!$A$122="","",Markets!$A$122)</f>
        <v>0</v>
      </c>
      <c r="AN128">
        <f>IF(AM128="",0,COUNTIFS(Journal!$C$11:$C$15,AM128,$K$11:$K$15,TRUE))</f>
        <v>0</v>
      </c>
      <c r="AO128">
        <f>IF(AN128=0,0,SUMIF(Journal!$C$11:$C$15,AM128,$V$11:$V$15))</f>
        <v>0</v>
      </c>
      <c r="AP128">
        <f>IF(AN128&gt;0,COUNTIF($AN$11:AN128,"&gt;0"),"")</f>
        <v>0</v>
      </c>
      <c r="AQ128">
        <v>118</v>
      </c>
      <c r="AR128">
        <f>IF(AQ128&gt;$AZ$36,"",INDEX($AM$11:$AM$160,MATCH(AQ128,$AP$11:$AP$160,0)))</f>
        <v>0</v>
      </c>
      <c r="AS128">
        <f>IF(AQ128&gt;$AZ$36,"",INDEX($AO$11:$AO$160,MATCH(AQ128,$AP$11:$AP$160,0)))</f>
        <v>0</v>
      </c>
    </row>
    <row r="129" spans="39:45">
      <c r="AM129">
        <f>IF(Markets!$A$123="","",Markets!$A$123)</f>
        <v>0</v>
      </c>
      <c r="AN129">
        <f>IF(AM129="",0,COUNTIFS(Journal!$C$11:$C$15,AM129,$K$11:$K$15,TRUE))</f>
        <v>0</v>
      </c>
      <c r="AO129">
        <f>IF(AN129=0,0,SUMIF(Journal!$C$11:$C$15,AM129,$V$11:$V$15))</f>
        <v>0</v>
      </c>
      <c r="AP129">
        <f>IF(AN129&gt;0,COUNTIF($AN$11:AN129,"&gt;0"),"")</f>
        <v>0</v>
      </c>
      <c r="AQ129">
        <v>119</v>
      </c>
      <c r="AR129">
        <f>IF(AQ129&gt;$AZ$36,"",INDEX($AM$11:$AM$160,MATCH(AQ129,$AP$11:$AP$160,0)))</f>
        <v>0</v>
      </c>
      <c r="AS129">
        <f>IF(AQ129&gt;$AZ$36,"",INDEX($AO$11:$AO$160,MATCH(AQ129,$AP$11:$AP$160,0)))</f>
        <v>0</v>
      </c>
    </row>
    <row r="130" spans="39:45">
      <c r="AM130">
        <f>IF(Markets!$A$124="","",Markets!$A$124)</f>
        <v>0</v>
      </c>
      <c r="AN130">
        <f>IF(AM130="",0,COUNTIFS(Journal!$C$11:$C$15,AM130,$K$11:$K$15,TRUE))</f>
        <v>0</v>
      </c>
      <c r="AO130">
        <f>IF(AN130=0,0,SUMIF(Journal!$C$11:$C$15,AM130,$V$11:$V$15))</f>
        <v>0</v>
      </c>
      <c r="AP130">
        <f>IF(AN130&gt;0,COUNTIF($AN$11:AN130,"&gt;0"),"")</f>
        <v>0</v>
      </c>
      <c r="AQ130">
        <v>120</v>
      </c>
      <c r="AR130">
        <f>IF(AQ130&gt;$AZ$36,"",INDEX($AM$11:$AM$160,MATCH(AQ130,$AP$11:$AP$160,0)))</f>
        <v>0</v>
      </c>
      <c r="AS130">
        <f>IF(AQ130&gt;$AZ$36,"",INDEX($AO$11:$AO$160,MATCH(AQ130,$AP$11:$AP$160,0)))</f>
        <v>0</v>
      </c>
    </row>
    <row r="131" spans="39:45">
      <c r="AM131">
        <f>IF(Markets!$A$125="","",Markets!$A$125)</f>
        <v>0</v>
      </c>
      <c r="AN131">
        <f>IF(AM131="",0,COUNTIFS(Journal!$C$11:$C$15,AM131,$K$11:$K$15,TRUE))</f>
        <v>0</v>
      </c>
      <c r="AO131">
        <f>IF(AN131=0,0,SUMIF(Journal!$C$11:$C$15,AM131,$V$11:$V$15))</f>
        <v>0</v>
      </c>
      <c r="AP131">
        <f>IF(AN131&gt;0,COUNTIF($AN$11:AN131,"&gt;0"),"")</f>
        <v>0</v>
      </c>
      <c r="AQ131">
        <v>121</v>
      </c>
      <c r="AR131">
        <f>IF(AQ131&gt;$AZ$36,"",INDEX($AM$11:$AM$160,MATCH(AQ131,$AP$11:$AP$160,0)))</f>
        <v>0</v>
      </c>
      <c r="AS131">
        <f>IF(AQ131&gt;$AZ$36,"",INDEX($AO$11:$AO$160,MATCH(AQ131,$AP$11:$AP$160,0)))</f>
        <v>0</v>
      </c>
    </row>
    <row r="132" spans="39:45">
      <c r="AM132">
        <f>IF(Markets!$A$126="","",Markets!$A$126)</f>
        <v>0</v>
      </c>
      <c r="AN132">
        <f>IF(AM132="",0,COUNTIFS(Journal!$C$11:$C$15,AM132,$K$11:$K$15,TRUE))</f>
        <v>0</v>
      </c>
      <c r="AO132">
        <f>IF(AN132=0,0,SUMIF(Journal!$C$11:$C$15,AM132,$V$11:$V$15))</f>
        <v>0</v>
      </c>
      <c r="AP132">
        <f>IF(AN132&gt;0,COUNTIF($AN$11:AN132,"&gt;0"),"")</f>
        <v>0</v>
      </c>
      <c r="AQ132">
        <v>122</v>
      </c>
      <c r="AR132">
        <f>IF(AQ132&gt;$AZ$36,"",INDEX($AM$11:$AM$160,MATCH(AQ132,$AP$11:$AP$160,0)))</f>
        <v>0</v>
      </c>
      <c r="AS132">
        <f>IF(AQ132&gt;$AZ$36,"",INDEX($AO$11:$AO$160,MATCH(AQ132,$AP$11:$AP$160,0)))</f>
        <v>0</v>
      </c>
    </row>
    <row r="133" spans="39:45">
      <c r="AM133">
        <f>IF(Markets!$A$127="","",Markets!$A$127)</f>
        <v>0</v>
      </c>
      <c r="AN133">
        <f>IF(AM133="",0,COUNTIFS(Journal!$C$11:$C$15,AM133,$K$11:$K$15,TRUE))</f>
        <v>0</v>
      </c>
      <c r="AO133">
        <f>IF(AN133=0,0,SUMIF(Journal!$C$11:$C$15,AM133,$V$11:$V$15))</f>
        <v>0</v>
      </c>
      <c r="AP133">
        <f>IF(AN133&gt;0,COUNTIF($AN$11:AN133,"&gt;0"),"")</f>
        <v>0</v>
      </c>
      <c r="AQ133">
        <v>123</v>
      </c>
      <c r="AR133">
        <f>IF(AQ133&gt;$AZ$36,"",INDEX($AM$11:$AM$160,MATCH(AQ133,$AP$11:$AP$160,0)))</f>
        <v>0</v>
      </c>
      <c r="AS133">
        <f>IF(AQ133&gt;$AZ$36,"",INDEX($AO$11:$AO$160,MATCH(AQ133,$AP$11:$AP$160,0)))</f>
        <v>0</v>
      </c>
    </row>
    <row r="134" spans="39:45">
      <c r="AM134">
        <f>IF(Markets!$A$128="","",Markets!$A$128)</f>
        <v>0</v>
      </c>
      <c r="AN134">
        <f>IF(AM134="",0,COUNTIFS(Journal!$C$11:$C$15,AM134,$K$11:$K$15,TRUE))</f>
        <v>0</v>
      </c>
      <c r="AO134">
        <f>IF(AN134=0,0,SUMIF(Journal!$C$11:$C$15,AM134,$V$11:$V$15))</f>
        <v>0</v>
      </c>
      <c r="AP134">
        <f>IF(AN134&gt;0,COUNTIF($AN$11:AN134,"&gt;0"),"")</f>
        <v>0</v>
      </c>
      <c r="AQ134">
        <v>124</v>
      </c>
      <c r="AR134">
        <f>IF(AQ134&gt;$AZ$36,"",INDEX($AM$11:$AM$160,MATCH(AQ134,$AP$11:$AP$160,0)))</f>
        <v>0</v>
      </c>
      <c r="AS134">
        <f>IF(AQ134&gt;$AZ$36,"",INDEX($AO$11:$AO$160,MATCH(AQ134,$AP$11:$AP$160,0)))</f>
        <v>0</v>
      </c>
    </row>
    <row r="135" spans="39:45">
      <c r="AM135">
        <f>IF(Markets!$A$129="","",Markets!$A$129)</f>
        <v>0</v>
      </c>
      <c r="AN135">
        <f>IF(AM135="",0,COUNTIFS(Journal!$C$11:$C$15,AM135,$K$11:$K$15,TRUE))</f>
        <v>0</v>
      </c>
      <c r="AO135">
        <f>IF(AN135=0,0,SUMIF(Journal!$C$11:$C$15,AM135,$V$11:$V$15))</f>
        <v>0</v>
      </c>
      <c r="AP135">
        <f>IF(AN135&gt;0,COUNTIF($AN$11:AN135,"&gt;0"),"")</f>
        <v>0</v>
      </c>
      <c r="AQ135">
        <v>125</v>
      </c>
      <c r="AR135">
        <f>IF(AQ135&gt;$AZ$36,"",INDEX($AM$11:$AM$160,MATCH(AQ135,$AP$11:$AP$160,0)))</f>
        <v>0</v>
      </c>
      <c r="AS135">
        <f>IF(AQ135&gt;$AZ$36,"",INDEX($AO$11:$AO$160,MATCH(AQ135,$AP$11:$AP$160,0)))</f>
        <v>0</v>
      </c>
    </row>
    <row r="136" spans="39:45">
      <c r="AM136">
        <f>IF(Markets!$A$130="","",Markets!$A$130)</f>
        <v>0</v>
      </c>
      <c r="AN136">
        <f>IF(AM136="",0,COUNTIFS(Journal!$C$11:$C$15,AM136,$K$11:$K$15,TRUE))</f>
        <v>0</v>
      </c>
      <c r="AO136">
        <f>IF(AN136=0,0,SUMIF(Journal!$C$11:$C$15,AM136,$V$11:$V$15))</f>
        <v>0</v>
      </c>
      <c r="AP136">
        <f>IF(AN136&gt;0,COUNTIF($AN$11:AN136,"&gt;0"),"")</f>
        <v>0</v>
      </c>
      <c r="AQ136">
        <v>126</v>
      </c>
      <c r="AR136">
        <f>IF(AQ136&gt;$AZ$36,"",INDEX($AM$11:$AM$160,MATCH(AQ136,$AP$11:$AP$160,0)))</f>
        <v>0</v>
      </c>
      <c r="AS136">
        <f>IF(AQ136&gt;$AZ$36,"",INDEX($AO$11:$AO$160,MATCH(AQ136,$AP$11:$AP$160,0)))</f>
        <v>0</v>
      </c>
    </row>
    <row r="137" spans="39:45">
      <c r="AM137">
        <f>IF(Markets!$A$131="","",Markets!$A$131)</f>
        <v>0</v>
      </c>
      <c r="AN137">
        <f>IF(AM137="",0,COUNTIFS(Journal!$C$11:$C$15,AM137,$K$11:$K$15,TRUE))</f>
        <v>0</v>
      </c>
      <c r="AO137">
        <f>IF(AN137=0,0,SUMIF(Journal!$C$11:$C$15,AM137,$V$11:$V$15))</f>
        <v>0</v>
      </c>
      <c r="AP137">
        <f>IF(AN137&gt;0,COUNTIF($AN$11:AN137,"&gt;0"),"")</f>
        <v>0</v>
      </c>
      <c r="AQ137">
        <v>127</v>
      </c>
      <c r="AR137">
        <f>IF(AQ137&gt;$AZ$36,"",INDEX($AM$11:$AM$160,MATCH(AQ137,$AP$11:$AP$160,0)))</f>
        <v>0</v>
      </c>
      <c r="AS137">
        <f>IF(AQ137&gt;$AZ$36,"",INDEX($AO$11:$AO$160,MATCH(AQ137,$AP$11:$AP$160,0)))</f>
        <v>0</v>
      </c>
    </row>
    <row r="138" spans="39:45">
      <c r="AM138">
        <f>IF(Markets!$A$132="","",Markets!$A$132)</f>
        <v>0</v>
      </c>
      <c r="AN138">
        <f>IF(AM138="",0,COUNTIFS(Journal!$C$11:$C$15,AM138,$K$11:$K$15,TRUE))</f>
        <v>0</v>
      </c>
      <c r="AO138">
        <f>IF(AN138=0,0,SUMIF(Journal!$C$11:$C$15,AM138,$V$11:$V$15))</f>
        <v>0</v>
      </c>
      <c r="AP138">
        <f>IF(AN138&gt;0,COUNTIF($AN$11:AN138,"&gt;0"),"")</f>
        <v>0</v>
      </c>
      <c r="AQ138">
        <v>128</v>
      </c>
      <c r="AR138">
        <f>IF(AQ138&gt;$AZ$36,"",INDEX($AM$11:$AM$160,MATCH(AQ138,$AP$11:$AP$160,0)))</f>
        <v>0</v>
      </c>
      <c r="AS138">
        <f>IF(AQ138&gt;$AZ$36,"",INDEX($AO$11:$AO$160,MATCH(AQ138,$AP$11:$AP$160,0)))</f>
        <v>0</v>
      </c>
    </row>
    <row r="139" spans="39:45">
      <c r="AM139">
        <f>IF(Markets!$A$133="","",Markets!$A$133)</f>
        <v>0</v>
      </c>
      <c r="AN139">
        <f>IF(AM139="",0,COUNTIFS(Journal!$C$11:$C$15,AM139,$K$11:$K$15,TRUE))</f>
        <v>0</v>
      </c>
      <c r="AO139">
        <f>IF(AN139=0,0,SUMIF(Journal!$C$11:$C$15,AM139,$V$11:$V$15))</f>
        <v>0</v>
      </c>
      <c r="AP139">
        <f>IF(AN139&gt;0,COUNTIF($AN$11:AN139,"&gt;0"),"")</f>
        <v>0</v>
      </c>
      <c r="AQ139">
        <v>129</v>
      </c>
      <c r="AR139">
        <f>IF(AQ139&gt;$AZ$36,"",INDEX($AM$11:$AM$160,MATCH(AQ139,$AP$11:$AP$160,0)))</f>
        <v>0</v>
      </c>
      <c r="AS139">
        <f>IF(AQ139&gt;$AZ$36,"",INDEX($AO$11:$AO$160,MATCH(AQ139,$AP$11:$AP$160,0)))</f>
        <v>0</v>
      </c>
    </row>
    <row r="140" spans="39:45">
      <c r="AM140">
        <f>IF(Markets!$A$134="","",Markets!$A$134)</f>
        <v>0</v>
      </c>
      <c r="AN140">
        <f>IF(AM140="",0,COUNTIFS(Journal!$C$11:$C$15,AM140,$K$11:$K$15,TRUE))</f>
        <v>0</v>
      </c>
      <c r="AO140">
        <f>IF(AN140=0,0,SUMIF(Journal!$C$11:$C$15,AM140,$V$11:$V$15))</f>
        <v>0</v>
      </c>
      <c r="AP140">
        <f>IF(AN140&gt;0,COUNTIF($AN$11:AN140,"&gt;0"),"")</f>
        <v>0</v>
      </c>
      <c r="AQ140">
        <v>130</v>
      </c>
      <c r="AR140">
        <f>IF(AQ140&gt;$AZ$36,"",INDEX($AM$11:$AM$160,MATCH(AQ140,$AP$11:$AP$160,0)))</f>
        <v>0</v>
      </c>
      <c r="AS140">
        <f>IF(AQ140&gt;$AZ$36,"",INDEX($AO$11:$AO$160,MATCH(AQ140,$AP$11:$AP$160,0)))</f>
        <v>0</v>
      </c>
    </row>
    <row r="141" spans="39:45">
      <c r="AM141">
        <f>IF(Markets!$A$135="","",Markets!$A$135)</f>
        <v>0</v>
      </c>
      <c r="AN141">
        <f>IF(AM141="",0,COUNTIFS(Journal!$C$11:$C$15,AM141,$K$11:$K$15,TRUE))</f>
        <v>0</v>
      </c>
      <c r="AO141">
        <f>IF(AN141=0,0,SUMIF(Journal!$C$11:$C$15,AM141,$V$11:$V$15))</f>
        <v>0</v>
      </c>
      <c r="AP141">
        <f>IF(AN141&gt;0,COUNTIF($AN$11:AN141,"&gt;0"),"")</f>
        <v>0</v>
      </c>
      <c r="AQ141">
        <v>131</v>
      </c>
      <c r="AR141">
        <f>IF(AQ141&gt;$AZ$36,"",INDEX($AM$11:$AM$160,MATCH(AQ141,$AP$11:$AP$160,0)))</f>
        <v>0</v>
      </c>
      <c r="AS141">
        <f>IF(AQ141&gt;$AZ$36,"",INDEX($AO$11:$AO$160,MATCH(AQ141,$AP$11:$AP$160,0)))</f>
        <v>0</v>
      </c>
    </row>
    <row r="142" spans="39:45">
      <c r="AM142">
        <f>IF(Markets!$A$136="","",Markets!$A$136)</f>
        <v>0</v>
      </c>
      <c r="AN142">
        <f>IF(AM142="",0,COUNTIFS(Journal!$C$11:$C$15,AM142,$K$11:$K$15,TRUE))</f>
        <v>0</v>
      </c>
      <c r="AO142">
        <f>IF(AN142=0,0,SUMIF(Journal!$C$11:$C$15,AM142,$V$11:$V$15))</f>
        <v>0</v>
      </c>
      <c r="AP142">
        <f>IF(AN142&gt;0,COUNTIF($AN$11:AN142,"&gt;0"),"")</f>
        <v>0</v>
      </c>
      <c r="AQ142">
        <v>132</v>
      </c>
      <c r="AR142">
        <f>IF(AQ142&gt;$AZ$36,"",INDEX($AM$11:$AM$160,MATCH(AQ142,$AP$11:$AP$160,0)))</f>
        <v>0</v>
      </c>
      <c r="AS142">
        <f>IF(AQ142&gt;$AZ$36,"",INDEX($AO$11:$AO$160,MATCH(AQ142,$AP$11:$AP$160,0)))</f>
        <v>0</v>
      </c>
    </row>
    <row r="143" spans="39:45">
      <c r="AM143">
        <f>IF(Markets!$A$137="","",Markets!$A$137)</f>
        <v>0</v>
      </c>
      <c r="AN143">
        <f>IF(AM143="",0,COUNTIFS(Journal!$C$11:$C$15,AM143,$K$11:$K$15,TRUE))</f>
        <v>0</v>
      </c>
      <c r="AO143">
        <f>IF(AN143=0,0,SUMIF(Journal!$C$11:$C$15,AM143,$V$11:$V$15))</f>
        <v>0</v>
      </c>
      <c r="AP143">
        <f>IF(AN143&gt;0,COUNTIF($AN$11:AN143,"&gt;0"),"")</f>
        <v>0</v>
      </c>
      <c r="AQ143">
        <v>133</v>
      </c>
      <c r="AR143">
        <f>IF(AQ143&gt;$AZ$36,"",INDEX($AM$11:$AM$160,MATCH(AQ143,$AP$11:$AP$160,0)))</f>
        <v>0</v>
      </c>
      <c r="AS143">
        <f>IF(AQ143&gt;$AZ$36,"",INDEX($AO$11:$AO$160,MATCH(AQ143,$AP$11:$AP$160,0)))</f>
        <v>0</v>
      </c>
    </row>
    <row r="144" spans="39:45">
      <c r="AM144">
        <f>IF(Markets!$A$138="","",Markets!$A$138)</f>
        <v>0</v>
      </c>
      <c r="AN144">
        <f>IF(AM144="",0,COUNTIFS(Journal!$C$11:$C$15,AM144,$K$11:$K$15,TRUE))</f>
        <v>0</v>
      </c>
      <c r="AO144">
        <f>IF(AN144=0,0,SUMIF(Journal!$C$11:$C$15,AM144,$V$11:$V$15))</f>
        <v>0</v>
      </c>
      <c r="AP144">
        <f>IF(AN144&gt;0,COUNTIF($AN$11:AN144,"&gt;0"),"")</f>
        <v>0</v>
      </c>
      <c r="AQ144">
        <v>134</v>
      </c>
      <c r="AR144">
        <f>IF(AQ144&gt;$AZ$36,"",INDEX($AM$11:$AM$160,MATCH(AQ144,$AP$11:$AP$160,0)))</f>
        <v>0</v>
      </c>
      <c r="AS144">
        <f>IF(AQ144&gt;$AZ$36,"",INDEX($AO$11:$AO$160,MATCH(AQ144,$AP$11:$AP$160,0)))</f>
        <v>0</v>
      </c>
    </row>
    <row r="145" spans="39:45">
      <c r="AM145">
        <f>IF(Markets!$A$139="","",Markets!$A$139)</f>
        <v>0</v>
      </c>
      <c r="AN145">
        <f>IF(AM145="",0,COUNTIFS(Journal!$C$11:$C$15,AM145,$K$11:$K$15,TRUE))</f>
        <v>0</v>
      </c>
      <c r="AO145">
        <f>IF(AN145=0,0,SUMIF(Journal!$C$11:$C$15,AM145,$V$11:$V$15))</f>
        <v>0</v>
      </c>
      <c r="AP145">
        <f>IF(AN145&gt;0,COUNTIF($AN$11:AN145,"&gt;0"),"")</f>
        <v>0</v>
      </c>
      <c r="AQ145">
        <v>135</v>
      </c>
      <c r="AR145">
        <f>IF(AQ145&gt;$AZ$36,"",INDEX($AM$11:$AM$160,MATCH(AQ145,$AP$11:$AP$160,0)))</f>
        <v>0</v>
      </c>
      <c r="AS145">
        <f>IF(AQ145&gt;$AZ$36,"",INDEX($AO$11:$AO$160,MATCH(AQ145,$AP$11:$AP$160,0)))</f>
        <v>0</v>
      </c>
    </row>
    <row r="146" spans="39:45">
      <c r="AM146">
        <f>IF(Markets!$A$140="","",Markets!$A$140)</f>
        <v>0</v>
      </c>
      <c r="AN146">
        <f>IF(AM146="",0,COUNTIFS(Journal!$C$11:$C$15,AM146,$K$11:$K$15,TRUE))</f>
        <v>0</v>
      </c>
      <c r="AO146">
        <f>IF(AN146=0,0,SUMIF(Journal!$C$11:$C$15,AM146,$V$11:$V$15))</f>
        <v>0</v>
      </c>
      <c r="AP146">
        <f>IF(AN146&gt;0,COUNTIF($AN$11:AN146,"&gt;0"),"")</f>
        <v>0</v>
      </c>
      <c r="AQ146">
        <v>136</v>
      </c>
      <c r="AR146">
        <f>IF(AQ146&gt;$AZ$36,"",INDEX($AM$11:$AM$160,MATCH(AQ146,$AP$11:$AP$160,0)))</f>
        <v>0</v>
      </c>
      <c r="AS146">
        <f>IF(AQ146&gt;$AZ$36,"",INDEX($AO$11:$AO$160,MATCH(AQ146,$AP$11:$AP$160,0)))</f>
        <v>0</v>
      </c>
    </row>
    <row r="147" spans="39:45">
      <c r="AM147">
        <f>IF(Markets!$A$141="","",Markets!$A$141)</f>
        <v>0</v>
      </c>
      <c r="AN147">
        <f>IF(AM147="",0,COUNTIFS(Journal!$C$11:$C$15,AM147,$K$11:$K$15,TRUE))</f>
        <v>0</v>
      </c>
      <c r="AO147">
        <f>IF(AN147=0,0,SUMIF(Journal!$C$11:$C$15,AM147,$V$11:$V$15))</f>
        <v>0</v>
      </c>
      <c r="AP147">
        <f>IF(AN147&gt;0,COUNTIF($AN$11:AN147,"&gt;0"),"")</f>
        <v>0</v>
      </c>
      <c r="AQ147">
        <v>137</v>
      </c>
      <c r="AR147">
        <f>IF(AQ147&gt;$AZ$36,"",INDEX($AM$11:$AM$160,MATCH(AQ147,$AP$11:$AP$160,0)))</f>
        <v>0</v>
      </c>
      <c r="AS147">
        <f>IF(AQ147&gt;$AZ$36,"",INDEX($AO$11:$AO$160,MATCH(AQ147,$AP$11:$AP$160,0)))</f>
        <v>0</v>
      </c>
    </row>
    <row r="148" spans="39:45">
      <c r="AM148">
        <f>IF(Markets!$A$142="","",Markets!$A$142)</f>
        <v>0</v>
      </c>
      <c r="AN148">
        <f>IF(AM148="",0,COUNTIFS(Journal!$C$11:$C$15,AM148,$K$11:$K$15,TRUE))</f>
        <v>0</v>
      </c>
      <c r="AO148">
        <f>IF(AN148=0,0,SUMIF(Journal!$C$11:$C$15,AM148,$V$11:$V$15))</f>
        <v>0</v>
      </c>
      <c r="AP148">
        <f>IF(AN148&gt;0,COUNTIF($AN$11:AN148,"&gt;0"),"")</f>
        <v>0</v>
      </c>
      <c r="AQ148">
        <v>138</v>
      </c>
      <c r="AR148">
        <f>IF(AQ148&gt;$AZ$36,"",INDEX($AM$11:$AM$160,MATCH(AQ148,$AP$11:$AP$160,0)))</f>
        <v>0</v>
      </c>
      <c r="AS148">
        <f>IF(AQ148&gt;$AZ$36,"",INDEX($AO$11:$AO$160,MATCH(AQ148,$AP$11:$AP$160,0)))</f>
        <v>0</v>
      </c>
    </row>
    <row r="149" spans="39:45">
      <c r="AM149">
        <f>IF(Markets!$A$143="","",Markets!$A$143)</f>
        <v>0</v>
      </c>
      <c r="AN149">
        <f>IF(AM149="",0,COUNTIFS(Journal!$C$11:$C$15,AM149,$K$11:$K$15,TRUE))</f>
        <v>0</v>
      </c>
      <c r="AO149">
        <f>IF(AN149=0,0,SUMIF(Journal!$C$11:$C$15,AM149,$V$11:$V$15))</f>
        <v>0</v>
      </c>
      <c r="AP149">
        <f>IF(AN149&gt;0,COUNTIF($AN$11:AN149,"&gt;0"),"")</f>
        <v>0</v>
      </c>
      <c r="AQ149">
        <v>139</v>
      </c>
      <c r="AR149">
        <f>IF(AQ149&gt;$AZ$36,"",INDEX($AM$11:$AM$160,MATCH(AQ149,$AP$11:$AP$160,0)))</f>
        <v>0</v>
      </c>
      <c r="AS149">
        <f>IF(AQ149&gt;$AZ$36,"",INDEX($AO$11:$AO$160,MATCH(AQ149,$AP$11:$AP$160,0)))</f>
        <v>0</v>
      </c>
    </row>
    <row r="150" spans="39:45">
      <c r="AM150">
        <f>IF(Markets!$A$144="","",Markets!$A$144)</f>
        <v>0</v>
      </c>
      <c r="AN150">
        <f>IF(AM150="",0,COUNTIFS(Journal!$C$11:$C$15,AM150,$K$11:$K$15,TRUE))</f>
        <v>0</v>
      </c>
      <c r="AO150">
        <f>IF(AN150=0,0,SUMIF(Journal!$C$11:$C$15,AM150,$V$11:$V$15))</f>
        <v>0</v>
      </c>
      <c r="AP150">
        <f>IF(AN150&gt;0,COUNTIF($AN$11:AN150,"&gt;0"),"")</f>
        <v>0</v>
      </c>
      <c r="AQ150">
        <v>140</v>
      </c>
      <c r="AR150">
        <f>IF(AQ150&gt;$AZ$36,"",INDEX($AM$11:$AM$160,MATCH(AQ150,$AP$11:$AP$160,0)))</f>
        <v>0</v>
      </c>
      <c r="AS150">
        <f>IF(AQ150&gt;$AZ$36,"",INDEX($AO$11:$AO$160,MATCH(AQ150,$AP$11:$AP$160,0)))</f>
        <v>0</v>
      </c>
    </row>
    <row r="151" spans="39:45">
      <c r="AM151">
        <f>IF(Markets!$A$145="","",Markets!$A$145)</f>
        <v>0</v>
      </c>
      <c r="AN151">
        <f>IF(AM151="",0,COUNTIFS(Journal!$C$11:$C$15,AM151,$K$11:$K$15,TRUE))</f>
        <v>0</v>
      </c>
      <c r="AO151">
        <f>IF(AN151=0,0,SUMIF(Journal!$C$11:$C$15,AM151,$V$11:$V$15))</f>
        <v>0</v>
      </c>
      <c r="AP151">
        <f>IF(AN151&gt;0,COUNTIF($AN$11:AN151,"&gt;0"),"")</f>
        <v>0</v>
      </c>
      <c r="AQ151">
        <v>141</v>
      </c>
      <c r="AR151">
        <f>IF(AQ151&gt;$AZ$36,"",INDEX($AM$11:$AM$160,MATCH(AQ151,$AP$11:$AP$160,0)))</f>
        <v>0</v>
      </c>
      <c r="AS151">
        <f>IF(AQ151&gt;$AZ$36,"",INDEX($AO$11:$AO$160,MATCH(AQ151,$AP$11:$AP$160,0)))</f>
        <v>0</v>
      </c>
    </row>
    <row r="152" spans="39:45">
      <c r="AM152">
        <f>IF(Markets!$A$146="","",Markets!$A$146)</f>
        <v>0</v>
      </c>
      <c r="AN152">
        <f>IF(AM152="",0,COUNTIFS(Journal!$C$11:$C$15,AM152,$K$11:$K$15,TRUE))</f>
        <v>0</v>
      </c>
      <c r="AO152">
        <f>IF(AN152=0,0,SUMIF(Journal!$C$11:$C$15,AM152,$V$11:$V$15))</f>
        <v>0</v>
      </c>
      <c r="AP152">
        <f>IF(AN152&gt;0,COUNTIF($AN$11:AN152,"&gt;0"),"")</f>
        <v>0</v>
      </c>
      <c r="AQ152">
        <v>142</v>
      </c>
      <c r="AR152">
        <f>IF(AQ152&gt;$AZ$36,"",INDEX($AM$11:$AM$160,MATCH(AQ152,$AP$11:$AP$160,0)))</f>
        <v>0</v>
      </c>
      <c r="AS152">
        <f>IF(AQ152&gt;$AZ$36,"",INDEX($AO$11:$AO$160,MATCH(AQ152,$AP$11:$AP$160,0)))</f>
        <v>0</v>
      </c>
    </row>
    <row r="153" spans="39:45">
      <c r="AM153">
        <f>IF(Markets!$A$147="","",Markets!$A$147)</f>
        <v>0</v>
      </c>
      <c r="AN153">
        <f>IF(AM153="",0,COUNTIFS(Journal!$C$11:$C$15,AM153,$K$11:$K$15,TRUE))</f>
        <v>0</v>
      </c>
      <c r="AO153">
        <f>IF(AN153=0,0,SUMIF(Journal!$C$11:$C$15,AM153,$V$11:$V$15))</f>
        <v>0</v>
      </c>
      <c r="AP153">
        <f>IF(AN153&gt;0,COUNTIF($AN$11:AN153,"&gt;0"),"")</f>
        <v>0</v>
      </c>
      <c r="AQ153">
        <v>143</v>
      </c>
      <c r="AR153">
        <f>IF(AQ153&gt;$AZ$36,"",INDEX($AM$11:$AM$160,MATCH(AQ153,$AP$11:$AP$160,0)))</f>
        <v>0</v>
      </c>
      <c r="AS153">
        <f>IF(AQ153&gt;$AZ$36,"",INDEX($AO$11:$AO$160,MATCH(AQ153,$AP$11:$AP$160,0)))</f>
        <v>0</v>
      </c>
    </row>
    <row r="154" spans="39:45">
      <c r="AM154">
        <f>IF(Markets!$A$148="","",Markets!$A$148)</f>
        <v>0</v>
      </c>
      <c r="AN154">
        <f>IF(AM154="",0,COUNTIFS(Journal!$C$11:$C$15,AM154,$K$11:$K$15,TRUE))</f>
        <v>0</v>
      </c>
      <c r="AO154">
        <f>IF(AN154=0,0,SUMIF(Journal!$C$11:$C$15,AM154,$V$11:$V$15))</f>
        <v>0</v>
      </c>
      <c r="AP154">
        <f>IF(AN154&gt;0,COUNTIF($AN$11:AN154,"&gt;0"),"")</f>
        <v>0</v>
      </c>
      <c r="AQ154">
        <v>144</v>
      </c>
      <c r="AR154">
        <f>IF(AQ154&gt;$AZ$36,"",INDEX($AM$11:$AM$160,MATCH(AQ154,$AP$11:$AP$160,0)))</f>
        <v>0</v>
      </c>
      <c r="AS154">
        <f>IF(AQ154&gt;$AZ$36,"",INDEX($AO$11:$AO$160,MATCH(AQ154,$AP$11:$AP$160,0)))</f>
        <v>0</v>
      </c>
    </row>
    <row r="155" spans="39:45">
      <c r="AM155">
        <f>IF(Markets!$A$149="","",Markets!$A$149)</f>
        <v>0</v>
      </c>
      <c r="AN155">
        <f>IF(AM155="",0,COUNTIFS(Journal!$C$11:$C$15,AM155,$K$11:$K$15,TRUE))</f>
        <v>0</v>
      </c>
      <c r="AO155">
        <f>IF(AN155=0,0,SUMIF(Journal!$C$11:$C$15,AM155,$V$11:$V$15))</f>
        <v>0</v>
      </c>
      <c r="AP155">
        <f>IF(AN155&gt;0,COUNTIF($AN$11:AN155,"&gt;0"),"")</f>
        <v>0</v>
      </c>
      <c r="AQ155">
        <v>145</v>
      </c>
      <c r="AR155">
        <f>IF(AQ155&gt;$AZ$36,"",INDEX($AM$11:$AM$160,MATCH(AQ155,$AP$11:$AP$160,0)))</f>
        <v>0</v>
      </c>
      <c r="AS155">
        <f>IF(AQ155&gt;$AZ$36,"",INDEX($AO$11:$AO$160,MATCH(AQ155,$AP$11:$AP$160,0)))</f>
        <v>0</v>
      </c>
    </row>
    <row r="156" spans="39:45">
      <c r="AM156">
        <f>IF(Markets!$A$150="","",Markets!$A$150)</f>
        <v>0</v>
      </c>
      <c r="AN156">
        <f>IF(AM156="",0,COUNTIFS(Journal!$C$11:$C$15,AM156,$K$11:$K$15,TRUE))</f>
        <v>0</v>
      </c>
      <c r="AO156">
        <f>IF(AN156=0,0,SUMIF(Journal!$C$11:$C$15,AM156,$V$11:$V$15))</f>
        <v>0</v>
      </c>
      <c r="AP156">
        <f>IF(AN156&gt;0,COUNTIF($AN$11:AN156,"&gt;0"),"")</f>
        <v>0</v>
      </c>
      <c r="AQ156">
        <v>146</v>
      </c>
      <c r="AR156">
        <f>IF(AQ156&gt;$AZ$36,"",INDEX($AM$11:$AM$160,MATCH(AQ156,$AP$11:$AP$160,0)))</f>
        <v>0</v>
      </c>
      <c r="AS156">
        <f>IF(AQ156&gt;$AZ$36,"",INDEX($AO$11:$AO$160,MATCH(AQ156,$AP$11:$AP$160,0)))</f>
        <v>0</v>
      </c>
    </row>
    <row r="157" spans="39:45">
      <c r="AM157">
        <f>IF(Markets!$A$151="","",Markets!$A$151)</f>
        <v>0</v>
      </c>
      <c r="AN157">
        <f>IF(AM157="",0,COUNTIFS(Journal!$C$11:$C$15,AM157,$K$11:$K$15,TRUE))</f>
        <v>0</v>
      </c>
      <c r="AO157">
        <f>IF(AN157=0,0,SUMIF(Journal!$C$11:$C$15,AM157,$V$11:$V$15))</f>
        <v>0</v>
      </c>
      <c r="AP157">
        <f>IF(AN157&gt;0,COUNTIF($AN$11:AN157,"&gt;0"),"")</f>
        <v>0</v>
      </c>
      <c r="AQ157">
        <v>147</v>
      </c>
      <c r="AR157">
        <f>IF(AQ157&gt;$AZ$36,"",INDEX($AM$11:$AM$160,MATCH(AQ157,$AP$11:$AP$160,0)))</f>
        <v>0</v>
      </c>
      <c r="AS157">
        <f>IF(AQ157&gt;$AZ$36,"",INDEX($AO$11:$AO$160,MATCH(AQ157,$AP$11:$AP$160,0)))</f>
        <v>0</v>
      </c>
    </row>
    <row r="158" spans="39:45">
      <c r="AM158">
        <f>IF(Markets!$A$152="","",Markets!$A$152)</f>
        <v>0</v>
      </c>
      <c r="AN158">
        <f>IF(AM158="",0,COUNTIFS(Journal!$C$11:$C$15,AM158,$K$11:$K$15,TRUE))</f>
        <v>0</v>
      </c>
      <c r="AO158">
        <f>IF(AN158=0,0,SUMIF(Journal!$C$11:$C$15,AM158,$V$11:$V$15))</f>
        <v>0</v>
      </c>
      <c r="AP158">
        <f>IF(AN158&gt;0,COUNTIF($AN$11:AN158,"&gt;0"),"")</f>
        <v>0</v>
      </c>
      <c r="AQ158">
        <v>148</v>
      </c>
      <c r="AR158">
        <f>IF(AQ158&gt;$AZ$36,"",INDEX($AM$11:$AM$160,MATCH(AQ158,$AP$11:$AP$160,0)))</f>
        <v>0</v>
      </c>
      <c r="AS158">
        <f>IF(AQ158&gt;$AZ$36,"",INDEX($AO$11:$AO$160,MATCH(AQ158,$AP$11:$AP$160,0)))</f>
        <v>0</v>
      </c>
    </row>
    <row r="159" spans="39:45">
      <c r="AM159">
        <f>IF(Markets!$A$153="","",Markets!$A$153)</f>
        <v>0</v>
      </c>
      <c r="AN159">
        <f>IF(AM159="",0,COUNTIFS(Journal!$C$11:$C$15,AM159,$K$11:$K$15,TRUE))</f>
        <v>0</v>
      </c>
      <c r="AO159">
        <f>IF(AN159=0,0,SUMIF(Journal!$C$11:$C$15,AM159,$V$11:$V$15))</f>
        <v>0</v>
      </c>
      <c r="AP159">
        <f>IF(AN159&gt;0,COUNTIF($AN$11:AN159,"&gt;0"),"")</f>
        <v>0</v>
      </c>
      <c r="AQ159">
        <v>149</v>
      </c>
      <c r="AR159">
        <f>IF(AQ159&gt;$AZ$36,"",INDEX($AM$11:$AM$160,MATCH(AQ159,$AP$11:$AP$160,0)))</f>
        <v>0</v>
      </c>
      <c r="AS159">
        <f>IF(AQ159&gt;$AZ$36,"",INDEX($AO$11:$AO$160,MATCH(AQ159,$AP$11:$AP$160,0)))</f>
        <v>0</v>
      </c>
    </row>
    <row r="160" spans="39:45">
      <c r="AM160">
        <f>IF(Markets!$A$154="","",Markets!$A$154)</f>
        <v>0</v>
      </c>
      <c r="AN160">
        <f>IF(AM160="",0,COUNTIFS(Journal!$C$11:$C$15,AM160,$K$11:$K$15,TRUE))</f>
        <v>0</v>
      </c>
      <c r="AO160">
        <f>IF(AN160=0,0,SUMIF(Journal!$C$11:$C$15,AM160,$V$11:$V$15))</f>
        <v>0</v>
      </c>
      <c r="AP160">
        <f>IF(AN160&gt;0,COUNTIF($AN$11:AN160,"&gt;0"),"")</f>
        <v>0</v>
      </c>
      <c r="AQ160">
        <v>150</v>
      </c>
      <c r="AR160">
        <f>IF(AQ160&gt;$AZ$36,"",INDEX($AM$11:$AM$160,MATCH(AQ160,$AP$11:$AP$160,0)))</f>
        <v>0</v>
      </c>
      <c r="AS160">
        <f>IF(AQ160&gt;$AZ$36,"",INDEX($AO$11:$AO$160,MATCH(AQ160,$AP$11:$AP$160,0)))</f>
        <v>0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2"/>
  <sheetViews>
    <sheetView workbookViewId="0"/>
  </sheetViews>
  <sheetFormatPr defaultRowHeight="15"/>
  <sheetData>
    <row r="1" spans="1:2">
      <c r="A1" t="s">
        <v>227</v>
      </c>
      <c r="B1" t="s">
        <v>228</v>
      </c>
    </row>
    <row r="2" spans="1:2">
      <c r="A2">
        <v>0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Journal</vt:lpstr>
      <vt:lpstr>Trade summary</vt:lpstr>
      <vt:lpstr>Markets</vt:lpstr>
      <vt:lpstr>Settings</vt:lpstr>
      <vt:lpstr>Calc</vt:lpstr>
      <vt:lpstr>Helper Sheet</vt:lpstr>
      <vt:lpstr>EQ_X</vt:lpstr>
      <vt:lpstr>EQ_Y</vt:lpstr>
      <vt:lpstr>INST_X</vt:lpstr>
      <vt:lpstr>INST_Y</vt:lpstr>
      <vt:lpstr>INSTR_LIST</vt:lpstr>
      <vt:lpstr>LOT_X</vt:lpstr>
      <vt:lpstr>LOT_Y</vt:lpstr>
      <vt:lpstr>Journal!Print_Area</vt:lpstr>
      <vt:lpstr>'Trade summary'!Print_Area</vt:lpstr>
      <vt:lpstr>Journal!Print_Titles</vt:lpstr>
      <vt:lpstr>RISK_LIST</vt:lpstr>
      <vt:lpstr>RISK_LOTS</vt:lpstr>
      <vt:lpstr>RISK_PCT</vt:lpstr>
      <vt:lpstr>ROWSEL</vt:lpstr>
      <vt:lpstr>SESS_X</vt:lpstr>
      <vt:lpstr>SESS_Y</vt:lpstr>
    </vt:vector>
  </TitlesOfParts>
  <Company>Pattern Traders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APXTT Demo Journal v2</dc:title>
  <dc:creator>Apex Trading Tools</dc:creator>
  <dc:description>Generated by journal/v2/build.py</dc:description>
  <cp:lastModifiedBy>Apex Trading Tools</cp:lastModifiedBy>
  <dcterms:created xsi:type="dcterms:W3CDTF">2026-10-15T02:01:59Z</dcterms:created>
  <dcterms:modified xsi:type="dcterms:W3CDTF">2026-10-15T02:01:59Z</dcterms:modified>
</cp:coreProperties>
</file>